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01 Bank-wide Oversight" sheetId="2" state="visible" r:id="rId2"/>
    <sheet name="02 Department Insights" sheetId="3" state="visible" r:id="rId3"/>
    <sheet name="03 Project Insights" sheetId="4" state="visible" r:id="rId4"/>
    <sheet name="04 Institutional File Plan" sheetId="5" state="visible" r:id="rId5"/>
    <sheet name="05 Retention and Disposal" sheetId="6" state="visible" r:id="rId6"/>
    <sheet name="06 Records and Archive Holdings" sheetId="7" state="visible" r:id="rId7"/>
    <sheet name="DB 1 UtilizationReport" sheetId="8" state="visible" r:id="rId8"/>
    <sheet name="DB 2 SiteActivity" sheetId="9" state="visible" r:id="rId9"/>
    <sheet name="DB 3 UserActivity" sheetId="10" state="visible" r:id="rId10"/>
    <sheet name="DB 4 FilePlan" sheetId="11" state="visible" r:id="rId11"/>
    <sheet name="Questions to client" sheetId="12" state="visible" r:id="rId12"/>
    <sheet name="Summary" sheetId="13" state="visible" r:id="rId13"/>
  </sheets>
  <definedNames>
    <definedName name="_xlnm._FilterDatabase" localSheetId="1" hidden="1">'01 Bank-wide Oversight'!$A$4:$T$62</definedName>
    <definedName name="_xlnm._FilterDatabase" localSheetId="2" hidden="1">'02 Department Insights'!$A$4:$T$26</definedName>
    <definedName name="_xlnm._FilterDatabase" localSheetId="3" hidden="1">'03 Project Insights'!$A$4:$T$10</definedName>
    <definedName name="_xlnm._FilterDatabase" localSheetId="4" hidden="1">'04 Institutional File Plan'!$A$4:$T$11</definedName>
    <definedName name="_xlnm._FilterDatabase" localSheetId="5" hidden="1">'05 Retention and Disposal'!$A$4:$T$13</definedName>
    <definedName name="_xlnm._FilterDatabase" localSheetId="6" hidden="1">'06 Records and Archive Holdings'!$A$4:$T$11</definedName>
    <definedName name="_xlnm._FilterDatabase" localSheetId="7" hidden="1">'DB 1 UtilizationReport'!$A$4:$I$40</definedName>
    <definedName name="_xlnm._FilterDatabase" localSheetId="8" hidden="1">'DB 2 SiteActivity'!$A$4:$I$25</definedName>
    <definedName name="_xlnm._FilterDatabase" localSheetId="9" hidden="1">'DB 3 UserActivity'!$A$4:$I$12</definedName>
    <definedName name="_xlnm._FilterDatabase" localSheetId="10" hidden="1">'DB 4 FilePlan'!$A$4:$I$12</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0067B1"/>
      <sz val="16"/>
    </font>
    <font>
      <name val="Arial"/>
      <i val="1"/>
      <color rgb="006B7785"/>
      <sz val="10"/>
    </font>
    <font>
      <name val="Arial"/>
      <sz val="10"/>
    </font>
    <font>
      <name val="Arial"/>
      <b val="1"/>
      <sz val="10"/>
    </font>
    <font>
      <name val="Arial"/>
      <b val="1"/>
      <color rgb="000067B1"/>
      <sz val="14"/>
    </font>
    <font>
      <name val="Arial"/>
      <i val="1"/>
      <color rgb="006B7785"/>
      <sz val="9"/>
    </font>
    <font>
      <name val="Arial"/>
      <b val="1"/>
      <color rgb="00FFFFFF"/>
      <sz val="9.5"/>
    </font>
    <font>
      <name val="Arial"/>
      <sz val="9"/>
    </font>
    <font>
      <name val="Arial"/>
      <b val="1"/>
      <sz val="9"/>
    </font>
    <font>
      <name val="Arial"/>
      <b val="1"/>
      <color rgb="000067B1"/>
      <sz val="11"/>
    </font>
    <font>
      <name val="Arial"/>
      <color rgb="006B7785"/>
      <sz val="9"/>
    </font>
  </fonts>
  <fills count="11">
    <fill>
      <patternFill/>
    </fill>
    <fill>
      <patternFill patternType="gray125"/>
    </fill>
    <fill>
      <patternFill patternType="solid">
        <fgColor rgb="00E8EFF6"/>
      </patternFill>
    </fill>
    <fill>
      <patternFill patternType="solid">
        <fgColor rgb="000067B1"/>
      </patternFill>
    </fill>
    <fill>
      <patternFill patternType="solid">
        <fgColor rgb="00D9EFD9"/>
      </patternFill>
    </fill>
    <fill>
      <patternFill patternType="solid">
        <fgColor rgb="00E4F0DA"/>
      </patternFill>
    </fill>
    <fill>
      <patternFill patternType="solid">
        <fgColor rgb="00F8D7D7"/>
      </patternFill>
    </fill>
    <fill>
      <patternFill patternType="solid">
        <fgColor rgb="00FFF7DA"/>
      </patternFill>
    </fill>
    <fill>
      <patternFill patternType="solid">
        <fgColor rgb="00FFF2CC"/>
      </patternFill>
    </fill>
    <fill>
      <patternFill patternType="solid">
        <fgColor rgb="00FFE4CC"/>
      </patternFill>
    </fill>
    <fill>
      <patternFill patternType="solid">
        <fgColor rgb="00E2DCF0"/>
      </patternFill>
    </fill>
  </fills>
  <borders count="2">
    <border>
      <left/>
      <right/>
      <top/>
      <bottom/>
      <diagonal/>
    </border>
    <border>
      <left style="thin">
        <color rgb="00D4DCE4"/>
      </left>
      <right style="thin">
        <color rgb="00D4DCE4"/>
      </right>
      <top style="thin">
        <color rgb="00D4DCE4"/>
      </top>
      <bottom style="thin">
        <color rgb="00D4DCE4"/>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6" fillId="2" borderId="0" pivotButton="0" quotePrefix="0" xfId="0"/>
    <xf numFmtId="0" fontId="7" fillId="3" borderId="1" applyAlignment="1" pivotButton="0" quotePrefix="0" xfId="0">
      <alignment vertical="center" wrapText="1"/>
    </xf>
    <xf numFmtId="0" fontId="8" fillId="0" borderId="1" applyAlignment="1" pivotButton="0" quotePrefix="0" xfId="0">
      <alignment horizontal="center" vertical="top"/>
    </xf>
    <xf numFmtId="0" fontId="8" fillId="0" borderId="1" applyAlignment="1" pivotButton="0" quotePrefix="0" xfId="0">
      <alignment vertical="top" wrapText="1"/>
    </xf>
    <xf numFmtId="0" fontId="9" fillId="4"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8" borderId="1" applyAlignment="1" pivotButton="0" quotePrefix="0" xfId="0">
      <alignment vertical="top" wrapText="1"/>
    </xf>
    <xf numFmtId="0" fontId="9" fillId="9" borderId="1" applyAlignment="1" pivotButton="0" quotePrefix="0" xfId="0">
      <alignment vertical="top" wrapText="1"/>
    </xf>
    <xf numFmtId="0" fontId="9" fillId="10" borderId="1" applyAlignment="1" pivotButton="0" quotePrefix="0" xfId="0">
      <alignment vertical="top" wrapText="1"/>
    </xf>
    <xf numFmtId="0" fontId="9" fillId="0" borderId="1" applyAlignment="1" pivotButton="0" quotePrefix="0" xfId="0">
      <alignment vertical="top" wrapText="1"/>
    </xf>
    <xf numFmtId="0" fontId="10" fillId="0" borderId="0" pivotButton="0" quotePrefix="0" xfId="0"/>
    <xf numFmtId="0" fontId="8" fillId="4" borderId="1" applyAlignment="1" pivotButton="0" quotePrefix="0" xfId="0">
      <alignment vertical="top" wrapText="1"/>
    </xf>
    <xf numFmtId="3" fontId="8" fillId="0" borderId="1" applyAlignment="1" pivotButton="0" quotePrefix="0" xfId="0">
      <alignment horizontal="center" vertical="top"/>
    </xf>
    <xf numFmtId="164" fontId="8" fillId="0" borderId="1" applyAlignment="1" pivotButton="0" quotePrefix="0" xfId="0">
      <alignment horizontal="center" vertical="top"/>
    </xf>
    <xf numFmtId="0" fontId="8" fillId="5" borderId="1" applyAlignment="1" pivotButton="0" quotePrefix="0" xfId="0">
      <alignment vertical="top" wrapText="1"/>
    </xf>
    <xf numFmtId="0" fontId="8" fillId="8" borderId="1" applyAlignment="1" pivotButton="0" quotePrefix="0" xfId="0">
      <alignment vertical="top" wrapText="1"/>
    </xf>
    <xf numFmtId="0" fontId="8" fillId="9" borderId="1" applyAlignment="1" pivotButton="0" quotePrefix="0" xfId="0">
      <alignment vertical="top" wrapText="1"/>
    </xf>
    <xf numFmtId="0" fontId="8" fillId="7" borderId="1" applyAlignment="1" pivotButton="0" quotePrefix="0" xfId="0">
      <alignment vertical="top" wrapText="1"/>
    </xf>
    <xf numFmtId="0" fontId="8" fillId="6" borderId="1" applyAlignment="1" pivotButton="0" quotePrefix="0" xfId="0">
      <alignment vertical="top" wrapText="1"/>
    </xf>
    <xf numFmtId="0" fontId="8" fillId="10" borderId="1" applyAlignment="1" pivotButton="0" quotePrefix="0" xfId="0">
      <alignment vertical="top" wrapText="1"/>
    </xf>
    <xf numFmtId="0" fontId="9" fillId="2" borderId="1" applyAlignment="1" pivotButton="0" quotePrefix="0" xfId="0">
      <alignment vertical="top" wrapText="1"/>
    </xf>
    <xf numFmtId="3" fontId="9" fillId="2" borderId="1" applyAlignment="1" pivotButton="0" quotePrefix="0" xfId="0">
      <alignment horizontal="center" vertical="top"/>
    </xf>
    <xf numFmtId="164" fontId="9" fillId="2" borderId="1" applyAlignment="1" pivotButton="0" quotePrefix="0" xfId="0">
      <alignment horizontal="center" vertical="top"/>
    </xf>
    <xf numFmtId="0" fontId="4" fillId="0" borderId="0" pivotButton="0" quotePrefix="0" xfId="0"/>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5"/>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1">
      <c r="B1" s="1" t="inlineStr">
        <is>
          <t>EDRMS Utilization Report: report checker</t>
        </is>
      </c>
    </row>
    <row r="2">
      <c r="B2" s="2" t="inlineStr">
        <is>
          <t>13 August 2026. One sheet per dashboard, plus the database design behind them.</t>
        </is>
      </c>
    </row>
    <row r="4">
      <c r="B4" s="3" t="inlineStr"/>
      <c r="C4" s="3" t="inlineStr"/>
    </row>
    <row r="5">
      <c r="B5" s="4" t="inlineStr">
        <is>
          <t>What this workbook is for</t>
        </is>
      </c>
      <c r="C5" s="3" t="inlineStr">
        <is>
          <t>Checking the report. Every figure on every dashboard is listed with where it comes from, which database column carries it, how it is computed, whether it can be tested in the tenant today, and what to ask the client about it.</t>
        </is>
      </c>
    </row>
    <row r="6">
      <c r="B6" s="4" t="inlineStr">
        <is>
          <t>How to use it</t>
        </is>
      </c>
      <c r="C6" s="3" t="inlineStr">
        <is>
          <t>Filter a dashboard sheet on the Status column. Green rows can be built now. Everything else names what is missing and, in the last column, exactly what to ask and why.</t>
        </is>
      </c>
    </row>
    <row r="7">
      <c r="B7" s="3" t="inlineStr"/>
      <c r="C7" s="3" t="inlineStr"/>
    </row>
    <row r="8">
      <c r="B8" s="4" t="inlineStr">
        <is>
          <t>The columns on each dashboard sheet</t>
        </is>
      </c>
      <c r="C8" s="3" t="inlineStr"/>
    </row>
    <row r="9">
      <c r="B9" s="4" t="inlineStr">
        <is>
          <t>Section, Element, Type</t>
        </is>
      </c>
      <c r="C9" s="3" t="inlineStr">
        <is>
          <t>Where the figure sits on the dashboard, and what kind of thing it is</t>
        </is>
      </c>
    </row>
    <row r="10">
      <c r="B10" s="4" t="inlineStr">
        <is>
          <t>What the figure is</t>
        </is>
      </c>
      <c r="C10" s="3" t="inlineStr">
        <is>
          <t>The measure in one line, so a reader does not have to open the report</t>
        </is>
      </c>
    </row>
    <row r="11">
      <c r="B11" s="4" t="inlineStr">
        <is>
          <t>Source system</t>
        </is>
      </c>
      <c r="C11" s="3" t="inlineStr">
        <is>
          <t>EDRMS database, Microsoft Graph, M365 usage report, site analytics, term store, SharePoint list, or No source</t>
        </is>
      </c>
    </row>
    <row r="12">
      <c r="B12" s="4" t="inlineStr">
        <is>
          <t>Database table and column</t>
        </is>
      </c>
      <c r="C12" s="3" t="inlineStr">
        <is>
          <t>Which of the four tables carries it, and which column. Blank means the column does not exist</t>
        </is>
      </c>
    </row>
    <row r="13">
      <c r="B13" s="4" t="inlineStr">
        <is>
          <t>How it is produced</t>
        </is>
      </c>
      <c r="C13" s="3" t="inlineStr">
        <is>
          <t>The formula or the direction to source it. Written to be handed to whoever builds the Power BI measure</t>
        </is>
      </c>
    </row>
    <row r="14">
      <c r="B14" s="4" t="inlineStr">
        <is>
          <t>In the design?</t>
        </is>
      </c>
      <c r="C14" s="3" t="inlineStr">
        <is>
          <t>Whether the 73 column design already carries it</t>
        </is>
      </c>
    </row>
    <row r="15">
      <c r="B15" s="4" t="inlineStr">
        <is>
          <t>In the tenant today?</t>
        </is>
      </c>
      <c r="C15" s="3" t="inlineStr">
        <is>
          <t>Whether the data exists in the test tenant now</t>
        </is>
      </c>
    </row>
    <row r="16">
      <c r="B16" s="4" t="inlineStr">
        <is>
          <t>Testable in the tenant, and how</t>
        </is>
      </c>
      <c r="C16" s="3" t="inlineStr">
        <is>
          <t>The actual check to run, with the export or the API call</t>
        </is>
      </c>
    </row>
    <row r="17">
      <c r="B17" s="4" t="inlineStr">
        <is>
          <t>Effort</t>
        </is>
      </c>
      <c r="C17" s="3" t="inlineStr">
        <is>
          <t>Easy, Medium or Blocked</t>
        </is>
      </c>
    </row>
    <row r="18">
      <c r="B18" s="4" t="inlineStr">
        <is>
          <t>Status</t>
        </is>
      </c>
      <c r="C18" s="3" t="inlineStr">
        <is>
          <t>The verdict. Colour coded, see the Summary sheet</t>
        </is>
      </c>
    </row>
    <row r="19">
      <c r="B19" s="4" t="inlineStr">
        <is>
          <t>Question to ask the client</t>
        </is>
      </c>
      <c r="C19" s="3" t="inlineStr">
        <is>
          <t>What to ask, and why it matters. Blank means nothing to ask</t>
        </is>
      </c>
    </row>
    <row r="20">
      <c r="B20" s="4" t="inlineStr">
        <is>
          <t>Questions</t>
        </is>
      </c>
      <c r="C20" s="3" t="inlineStr">
        <is>
          <t>His own question against that row, in his words</t>
        </is>
      </c>
    </row>
    <row r="21">
      <c r="B21" s="4" t="inlineStr">
        <is>
          <t>What we found</t>
        </is>
      </c>
      <c r="C21" s="3" t="inlineStr">
        <is>
          <t>What checking actually returned. Kept separate from his question so it stays visible which half is the ask and which half is the result</t>
        </is>
      </c>
    </row>
    <row r="22">
      <c r="B22" s="4" t="inlineStr">
        <is>
          <t>FINAL REMARKS</t>
        </is>
      </c>
      <c r="C22" s="3" t="inlineStr">
        <is>
          <t>The conclusion, once it is settled</t>
        </is>
      </c>
    </row>
    <row r="23">
      <c r="B23" s="3" t="inlineStr"/>
      <c r="C23" s="3" t="inlineStr"/>
    </row>
    <row r="24">
      <c r="B24" s="4" t="inlineStr">
        <is>
          <t>THE TEST TENANT AND THE ADB TENANT</t>
        </is>
      </c>
      <c r="C24" s="3" t="inlineStr"/>
    </row>
    <row r="25">
      <c r="B25" s="4" t="inlineStr">
        <is>
          <t>The method transfers. The numbers do not.</t>
        </is>
      </c>
      <c r="C25" s="3" t="inlineStr">
        <is>
          <t>Everything in this workbook was proved against the 7rkd12 TEST tenant. Treat the METHOD as valid for ADB production: the same reports exist, under the same names, with the same column headings, and the same rules govern them. Microsoft and AvePoint do not ship different products to different tenants. What does NOT transfer is any figure. 1,032 compliant sites, 1,676 sites, 32,833 files, 1,990 declared records: all test tenant. Re-run each export against production and read the real number off it.</t>
        </is>
      </c>
    </row>
    <row r="26">
      <c r="B26" s="4" t="inlineStr">
        <is>
          <t>What to change for ADB</t>
        </is>
      </c>
      <c r="C26" s="3" t="inlineStr">
        <is>
          <t>Two things only. Swap the tenant name in every admin URL, so 7rkd12-admin.sharepoint.com becomes ADB's equivalent. And point Cloud Governance at ADB's own AvePoint Online Services instance. Every click path, column name, Graph call and SQL statement is unchanged.</t>
        </is>
      </c>
    </row>
    <row r="27">
      <c r="B27" s="4" t="inlineStr">
        <is>
          <t>The four exports that reproduce this workbook in production</t>
        </is>
      </c>
      <c r="C27" s="3" t="inlineStr"/>
    </row>
    <row r="28">
      <c r="B28" s="4" t="inlineStr">
        <is>
          <t>1. Cloud Governance Workspace report</t>
        </is>
      </c>
      <c r="C28" s="3" t="inlineStr">
        <is>
          <t>AvePoint Online Services, Cloud Governance, Directory, Workspace report, Export report. Collect from Job monitor. Gives the EDRMS compliant site list via 'EDRMS Site Type', the site to department mapping via 'Department', plus owner, storage, activity and status. The single highest value file in the project. Ask Leah Bancale.</t>
        </is>
      </c>
    </row>
    <row r="29">
      <c r="B29" s="4" t="inlineStr">
        <is>
          <t>2. SharePoint site usage report</t>
        </is>
      </c>
      <c r="C29" s="3" t="inlineStr">
        <is>
          <t>admin.microsoft.com, Reports, Usage, SharePoint site usage, Export. Gives File Count per site. Join to export 1 on Site Id to get the interim document total.</t>
        </is>
      </c>
    </row>
    <row r="30">
      <c r="B30" s="4" t="inlineStr">
        <is>
          <t>3. SharePoint activity user detail report</t>
        </is>
      </c>
      <c r="C30" s="3" t="inlineStr">
        <is>
          <t>admin.microsoft.com, Reports, Usage, SharePoint activity, Export. One row per LICENSED user, not per active user. Filter on Viewed Or Edited File Count above zero.</t>
        </is>
      </c>
    </row>
    <row r="31">
      <c r="B31" s="4" t="inlineStr">
        <is>
          <t>4. The drm-npr database</t>
        </is>
      </c>
      <c r="C31" s="3" t="inlineStr">
        <is>
          <t>Any SQL client against public."Records". Declared records only. Everything else in the report needs the weekly scan, which needs export 1 to know which sites to scan.</t>
        </is>
      </c>
    </row>
    <row r="32">
      <c r="B32" s="3" t="inlineStr"/>
      <c r="C32" s="3" t="inlineStr"/>
    </row>
    <row r="33">
      <c r="B33" s="4" t="inlineStr">
        <is>
          <t>The single most important fact</t>
        </is>
      </c>
      <c r="C33" s="3" t="inlineStr"/>
    </row>
    <row r="34">
      <c r="B34" s="4" t="inlineStr">
        <is>
          <t>Records holds declared records only</t>
        </is>
      </c>
      <c r="C34" s="3" t="inlineStr">
        <is>
          <t>public."Records" in drm-npr contains declared records only, about 1,990 in UAT, and no row at all for an undeclared document. So every figure about declared records can be produced today, and every figure needing a denominator waits on the weekly SharePoint scan being built.</t>
        </is>
      </c>
    </row>
    <row r="35">
      <c r="B35" s="3" t="inlineStr"/>
      <c r="C35" s="3" t="inlineStr"/>
    </row>
    <row r="36">
      <c r="B36" s="4" t="inlineStr">
        <is>
          <t>The three query rules</t>
        </is>
      </c>
      <c r="C36" s="3" t="inlineStr">
        <is>
          <t>Getting any of these wrong produces a plausible wrong number, not an error</t>
        </is>
      </c>
    </row>
    <row r="37">
      <c r="B37" s="4" t="inlineStr">
        <is>
          <t>1. Read the latest snapshot</t>
        </is>
      </c>
      <c r="C37" s="3" t="inlineStr">
        <is>
          <t>Or 1,057 compliant sites silently becomes 55,000 after a year of retained history</t>
        </is>
      </c>
    </row>
    <row r="38">
      <c r="B38" s="4" t="inlineStr">
        <is>
          <t>2. A range sums SiteVisits7</t>
        </is>
      </c>
      <c r="C38" s="3" t="inlineStr">
        <is>
          <t>Never the 30, 90 or 180 day figures. Consecutive 7 day windows tile exactly, longer ones overlap and would count most days several times over</t>
        </is>
      </c>
    </row>
    <row r="39">
      <c r="B39" s="4" t="inlineStr">
        <is>
          <t>3. Match on ReportRefreshDate, not SnapshotDate</t>
        </is>
      </c>
      <c r="C39" s="3" t="inlineStr">
        <is>
          <t>The first is what Microsoft measured, the second is when the job ran, and they differ. An export taken on 12 Aug carried figures as at 10 Aug</t>
        </is>
      </c>
    </row>
    <row r="40">
      <c r="B40" s="3" t="inlineStr"/>
      <c r="C40" s="3" t="inlineStr"/>
    </row>
    <row r="41">
      <c r="B41" s="4" t="inlineStr">
        <is>
          <t>Sheets</t>
        </is>
      </c>
      <c r="C41" s="3" t="inlineStr"/>
    </row>
    <row r="42">
      <c r="B42" s="4" t="inlineStr">
        <is>
          <t>01 to 06</t>
        </is>
      </c>
      <c r="C42" s="3" t="inlineStr">
        <is>
          <t>One per dashboard, in the client's own order from PPT s13</t>
        </is>
      </c>
    </row>
    <row r="43">
      <c r="B43" s="4" t="inlineStr">
        <is>
          <t>DB 1 to DB 4</t>
        </is>
      </c>
      <c r="C43" s="3" t="inlineStr">
        <is>
          <t>The four tables, every column, its type, source and remarks</t>
        </is>
      </c>
    </row>
    <row r="44">
      <c r="B44" s="4" t="inlineStr">
        <is>
          <t>Questions to client</t>
        </is>
      </c>
      <c r="C44" s="3" t="inlineStr">
        <is>
          <t>Every question from the dashboard sheets, deduplicated and prioritised</t>
        </is>
      </c>
    </row>
    <row r="45">
      <c r="B45" s="4" t="inlineStr">
        <is>
          <t>Summary</t>
        </is>
      </c>
      <c r="C45" s="3" t="inlineStr">
        <is>
          <t>Counts by status and by dashboard, computed from the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8" customWidth="1" min="3" max="3"/>
    <col width="9" customWidth="1" min="4" max="4"/>
    <col width="34" customWidth="1" min="5" max="5"/>
    <col width="18" customWidth="1" min="6" max="6"/>
    <col width="30" customWidth="1" min="7" max="7"/>
    <col width="62" customWidth="1" min="8" max="8"/>
    <col width="40" customWidth="1" min="9" max="9"/>
    <col width="60" customWidth="1" min="10" max="10"/>
    <col width="20" customWidth="1" min="11" max="11"/>
    <col width="28" customWidth="1" min="12" max="12"/>
    <col width="13" customWidth="1" min="13" max="13"/>
    <col width="15" customWidth="1" min="14" max="14"/>
    <col width="9" customWidth="1" min="15" max="15"/>
    <col width="24" customWidth="1" min="16" max="16"/>
    <col width="58" customWidth="1" min="17" max="17"/>
    <col width="46" customWidth="1" min="18" max="18"/>
    <col width="40" customWidth="1" min="19" max="19"/>
    <col width="69" customWidth="1" min="20" max="20"/>
  </cols>
  <sheetData>
    <row r="1" ht="20" customHeight="1">
      <c r="A1" s="5" t="inlineStr">
        <is>
          <t>Bank-wide Oversight</t>
        </is>
      </c>
      <c r="B1" s="6" t="n"/>
      <c r="C1" s="6" t="n"/>
      <c r="D1" s="6" t="n"/>
      <c r="E1" s="6" t="n"/>
      <c r="F1" s="6" t="n"/>
      <c r="G1" s="6" t="n"/>
      <c r="H1" s="6" t="n"/>
      <c r="I1" s="6" t="n"/>
      <c r="J1" s="6" t="n"/>
      <c r="K1" s="6" t="n"/>
      <c r="L1" s="6" t="n"/>
      <c r="M1" s="6" t="n"/>
      <c r="N1" s="6" t="n"/>
      <c r="O1" s="6" t="n"/>
      <c r="P1" s="6" t="n"/>
      <c r="Q1" s="6" t="n"/>
      <c r="R1" s="6" t="n"/>
      <c r="S1" s="6" t="n"/>
      <c r="T1" s="6" t="n"/>
    </row>
    <row r="2" ht="16" customHeight="1">
      <c r="A2" s="7" t="inlineStr">
        <is>
          <t>Client design: PPT s13 to s18, s34 to s44. Filter the Status column to see what can be built now.</t>
        </is>
      </c>
      <c r="B2" s="6" t="n"/>
      <c r="C2" s="6" t="n"/>
      <c r="D2" s="6" t="n"/>
      <c r="E2" s="6" t="n"/>
      <c r="F2" s="6" t="n"/>
      <c r="G2" s="6" t="n"/>
      <c r="H2" s="6" t="n"/>
      <c r="I2" s="6" t="n"/>
      <c r="J2" s="6" t="n"/>
      <c r="K2" s="6" t="n"/>
      <c r="L2" s="6" t="n"/>
      <c r="M2" s="6" t="n"/>
      <c r="N2" s="6" t="n"/>
      <c r="O2" s="6" t="n"/>
      <c r="P2" s="6" t="n"/>
      <c r="Q2" s="6" t="n"/>
      <c r="R2" s="6" t="n"/>
      <c r="S2" s="6" t="n"/>
      <c r="T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Report or file to open</t>
        </is>
      </c>
      <c r="H4" s="8" t="inlineStr">
        <is>
          <t>Step by step: how to get that file</t>
        </is>
      </c>
      <c r="I4" s="8" t="inlineStr">
        <is>
          <t>Exact column heading in that file</t>
        </is>
      </c>
      <c r="J4" s="8" t="inlineStr">
        <is>
          <t>How the number is worked out</t>
        </is>
      </c>
      <c r="K4" s="8" t="inlineStr">
        <is>
          <t>Database table</t>
        </is>
      </c>
      <c r="L4" s="8" t="inlineStr">
        <is>
          <t>Database column</t>
        </is>
      </c>
      <c r="M4" s="8" t="inlineStr">
        <is>
          <t>In the design?</t>
        </is>
      </c>
      <c r="N4" s="8" t="inlineStr">
        <is>
          <t>In the tenant today?</t>
        </is>
      </c>
      <c r="O4" s="8" t="inlineStr">
        <is>
          <t>Effort</t>
        </is>
      </c>
      <c r="P4" s="8" t="inlineStr">
        <is>
          <t>Status</t>
        </is>
      </c>
      <c r="Q4" s="8" t="inlineStr">
        <is>
          <t>Question to ask the client, and why</t>
        </is>
      </c>
      <c r="R4" s="8" t="inlineStr">
        <is>
          <t>Questions</t>
        </is>
      </c>
      <c r="S4" s="8" t="inlineStr">
        <is>
          <t>What we found</t>
        </is>
      </c>
      <c r="T4" s="8" t="inlineStr">
        <is>
          <t>FINAL REMARKS</t>
        </is>
      </c>
    </row>
    <row r="5">
      <c r="A5" s="9" t="n">
        <v>1</v>
      </c>
      <c r="B5" s="10" t="inlineStr">
        <is>
          <t>Top panel</t>
        </is>
      </c>
      <c r="C5" s="10" t="inlineStr">
        <is>
          <t>Total EDRMS Users</t>
        </is>
      </c>
      <c r="D5" s="10" t="inlineStr">
        <is>
          <t>KPI</t>
        </is>
      </c>
      <c r="E5" s="10" t="inlineStr">
        <is>
          <t>People who actually used SharePoint</t>
        </is>
      </c>
      <c r="F5" s="10" t="inlineStr">
        <is>
          <t>M365 usage report</t>
        </is>
      </c>
      <c r="G5" s="10" t="inlineStr">
        <is>
          <t>SharePoint activity user detail report, exported as CSV</t>
        </is>
      </c>
      <c r="H5" s="10" t="inlineStr">
        <is>
          <t>1. Go to https://admin.microsoft.com/#/reportsUsage/SharePointActivity
   (tenant independent URL: signing in as an ADB reports reader gives ADB figures)
2. Sign in as a Microsoft 365 reports reader or global reader
3. Set the period selector to 30 days
4. Click Export. A CSV downloads, named like SharePointActivityUserDetail_2026-08-12.csv
5. Open it in Excel. It has 12 columns and one row per LICENSED user, 30 rows in the test tenant. It is NOT a list of active users, which is the mistake to avoid</t>
        </is>
      </c>
      <c r="I5" s="10" t="inlineStr">
        <is>
          <t>Two columns: 'User Principal Name' and 'Viewed Or Edited File Count'</t>
        </is>
      </c>
      <c r="J5" s="10" t="inlineStr">
        <is>
          <t>Filter the sheet to rows where 'Viewed Or Edited File Count' is greater than 0, then count the remaining rows. In the test tenant the file has 30 rows but only 8 survive that filter, so the answer is 8, not 30. Do NOT just count rows: the export lists every licensed user</t>
        </is>
      </c>
      <c r="K5" s="10" t="inlineStr">
        <is>
          <t>3 User Activity</t>
        </is>
      </c>
      <c r="L5" s="10" t="inlineStr">
        <is>
          <t>UserPrincipalName, ViewedOrEditedFileCount</t>
        </is>
      </c>
      <c r="M5" s="10" t="inlineStr">
        <is>
          <t>Yes</t>
        </is>
      </c>
      <c r="N5" s="10" t="inlineStr">
        <is>
          <t>Yes</t>
        </is>
      </c>
      <c r="O5" s="10" t="inlineStr">
        <is>
          <t>Easy</t>
        </is>
      </c>
      <c r="P5" s="11" t="inlineStr">
        <is>
          <t>Buildable now</t>
        </is>
      </c>
      <c r="Q5" s="10" t="inlineStr">
        <is>
          <t>How should EDRMS User be defined? Aldo Enriquez raised this on 10 Aug and Kylee Williamson replied that it will need defining. Neither settled it, and every option is buildable today, so this is a definition to agree rather than work to do</t>
        </is>
      </c>
      <c r="R5" s="10" t="inlineStr">
        <is>
          <t>Is it accurate to determine the total edrms users in the sharepoint export? Do we have any other report as basis to get this number? Why sharepoint specifically? It is kpi and when clicked, opens the list of departments and each department determines the active users? How to map this?</t>
        </is>
      </c>
      <c r="S5" s="10" t="inlineStr">
        <is>
          <t>M365 Activity Report: it does not contain any activity that guarantees a person used an EDRMS compliant site.
This report only includes activities made to any SharePoint file anywhere, including a team site that has nothing to do with EDRMS. The figure overstates EDRMS adoption, because it counts non EDRMS SharePoint use.
2nd trap: records only every licensed user, not every active one. 30 rows in the test tenant, 8 with activity above zero.
Why SharePoint specifically: the EDRMS is not a separate application. It is app {B255A2AF-7F63-4A30-966A-5D5FD99F97D7} installed into SharePoint sites, so the only two traces of EDRMS use are SharePoint usage reporting, which is broad, and the Records table, which sees declarers only.
Mapping users to departments: not from the RAC site list. That maps SITE to department. USER to department comes from the Entra ID 'department' attribute, joined on User Principal Name. Whether ADB populates it is NOT yet confirmed: four Graph Explorer attempts all returned the default property set, so the check has not actually run.</t>
        </is>
      </c>
      <c r="T5" s="10" t="inlineStr">
        <is>
          <t>Kylee and Aldo have a conversation regarding how EDRMS user should be defined.
CAVEATS:
1. M365 Usage report: Activity only overstates. It counts anyone who touched any SharePoint file anywhere, including sites with nothing to do with records. Someone who has never declared anything appears as an EDRMS user.
2. Users who declared a record: Declarers only understates. Not sure of the responsibility for each staff, but a records officer whose job involves searching, reviewing and retrieving records all day, and who declares nothing because declaring is not their job, would count as a non user.
BUILDABLE:
EDRMS Users is the headline: distinct licensed users with SharePoint activity in the last 90 days. Stated with the caveat that it covers all SharePoint activity, because the usage report cannot break activity down per site.
Active Records Declarers sits beside it: distinct users who declared at least one record in the last 90 days.
On 90 days: 30 is too tight for records work, 180 stops discriminating, and 90 is the window the usage report offers natively and matches the site inactivity rule. On the declared side a rolling 3 months is exact. On the activity side it must mean the 90 day export, not a calendar quarter, or the two will not reconcile.
The gap between the two figures is the most useful adoption number in the report. The definition is the client's to sign off.</t>
        </is>
      </c>
    </row>
    <row r="6">
      <c r="A6" s="9" t="n">
        <v>2</v>
      </c>
      <c r="B6" s="10" t="inlineStr">
        <is>
          <t>Top panel</t>
        </is>
      </c>
      <c r="C6" s="10" t="inlineStr">
        <is>
          <t>Total Documents in EDRMS</t>
        </is>
      </c>
      <c r="D6" s="10" t="inlineStr">
        <is>
          <t>KPI</t>
        </is>
      </c>
      <c r="E6" s="10" t="inlineStr">
        <is>
          <t>Every document held, declared or not</t>
        </is>
      </c>
      <c r="F6" s="10" t="inlineStr">
        <is>
          <t>M365 usage report</t>
        </is>
      </c>
      <c r="G6" s="10" t="inlineStr">
        <is>
          <t>SharePoint site usage report, exported as CSV</t>
        </is>
      </c>
      <c r="H6"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6" s="10" t="inlineStr">
        <is>
          <t>'File Count', and 'Site Id' to identify the site</t>
        </is>
      </c>
      <c r="J6" s="10" t="inlineStr">
        <is>
          <t>Sum the 'File Count' column across the sites that are EDRMS compliant. In the test tenant the full sum is 32,833 across 1,071 sites that hold anything. This is the interim answer: the real figure needs the weekly scan, because the usage export counts files rather than the documents the report defines</t>
        </is>
      </c>
      <c r="K6" s="10" t="inlineStr">
        <is>
          <t>1 Utilization Report</t>
        </is>
      </c>
      <c r="L6" s="10" t="inlineStr">
        <is>
          <t>All rows WHERE IsEdrmsCompliant</t>
        </is>
      </c>
      <c r="M6" s="10" t="inlineStr">
        <is>
          <t>Yes</t>
        </is>
      </c>
      <c r="N6" s="10" t="inlineStr">
        <is>
          <t>Partly</t>
        </is>
      </c>
      <c r="O6" s="10" t="inlineStr">
        <is>
          <t>Medium</t>
        </is>
      </c>
      <c r="P6" s="11" t="inlineStr">
        <is>
          <t>Buildable now</t>
        </is>
      </c>
      <c r="Q6" s="10" t="inlineStr">
        <is>
          <t>Four questions, in the FINAL REMARKS column, ready to send to development</t>
        </is>
      </c>
      <c r="R6" s="10" t="inlineStr">
        <is>
          <t>Where would I be getting this: site list from Graph.
In the export, does this File Count count what specific documents it includes? Does a folder get classified as a file?</t>
        </is>
      </c>
      <c r="S6" s="10" t="inlineStr">
        <is>
          <t>FOLDERS: answered by measurement, not by reading documentation. Graph returns a facet on every item: an item carrying a 'folder' facet is a folder, one carrying a 'file' facet is a document.
Measured on org_csd_1.4testsite, Documents library, 14 Aug 2026: 73 items returned, 19 of them folders, 54 documents. Counting rows instead of checking facets overstates by 35 percent.
Storage is worse. A folder's 'size' is CUMULATIVE, so it already contains everything beneath it. Summing size over all 73 items gives 684.3 MB against a true 172.2 MB, four times over. The 54 file sizes reconcile to the root folder figure exactly.
SYSTEM LIBRARIES: 21 libraries on that one site, 2 of them created by SharePoint itself and holding no business document, 'Apps for SharePoint' and 'Client Side Assets'. File Count in the usage export includes these. The scan excludes them, so the scan total will read LOWER than 32,833.
SITE LIST: do NOT use GET /sites?search=* to enumerate. It is a search over the crawled index, not an enumeration. Measured 14 Aug: it returned 451 sites against 1,676 from Get-PnPTenantSite. A scan built on it silently misses most of the tenant.
NOT VERIFIED: whether the plain GUID in the usage export's 'Site Id' is the same GUID that sits inside the Graph composite site id. If it is not, the usage report route needs a different join key.</t>
        </is>
      </c>
      <c r="T6" s="10" t="inlineStr">
        <is>
          <t>The exact number does not exist in any system today. Not in the database, not in any report. public."Records" holds declared records only and has no concept of an undeclared document.
TWO ROUTES, and the answer is to do both.
Route A, the usage report: filter the site usage export to EDRMS compliant Site Ids, exclude rows where Is Deleted is True, sum File Count. Cheap, no development, gives a headline total as soon as RAC supplies the compliant site list. It gives a count per site and nothing else.
Route B, the document scan: one row per document carrying ListId and ItemId. Only this can be joined to public."Records" to say WHICH documents were declared, which is the declaration rate the whole report exists to show. Route A cannot answer that at all.
THE FOUR QUESTIONS FOR DEVELOPMENT:
1. Is it feasible to produce Total Documents in All EDRMS Compliant Sites as a KPI? We can produce declared records today, since they sit in public."Records". We have no equivalent for documents that were never declared, and every percentage in the report needs that figure underneath it. Is this achievable, and roughly what does it cost?
2. If it is feasible, where does the number come from? public."Records" holds declared records only, about 1,990 rows in UAT, with no row at all for an undeclared document. So the count has to come from SharePoint rather than from the database. Which source would you use, and does it need a new scheduled job or can it come from an existing report?
3. Can the SharePoint usage report do this without a document scan? The site usage export has Site Id, File Count and Is Deleted on every row. If we had the list of EDRMS compliant sites, could we filter that export to those Site Ids, exclude the deleted ones, and sum File Count? Two things we want your view on. First, File Count appears to include system libraries such as Apps for SharePoint and Client Side Assets, so we expect it to read high. Can that be corrected, or do we accept it and label it? Second, the Site Id in the usage export is a plain GUID, while the Graph site id is a composite of host, site GUID and web GUID. Are those the same site GUID, so the two can be joined reliably? And separately: we understand this route gives a count per site with no document level rows, so it cannot tell us which documents were declared. Is that your reading too?
4. How do we identify EDRMS compliant sites across the whole tenant? A site is compliant when app {B255A2AF-7F63-4A30-966A-5D5FD99F97D7}, digital-records-management-system, is installed on it, and Site Contents shows it as its own row in a browser. What we do not know is which API returns that across all sites at once. Is there a query that does this, or should RAC maintain the list by hand? This one blocks BOTH routes equally.</t>
        </is>
      </c>
    </row>
    <row r="7">
      <c r="A7" s="9" t="n">
        <v>3</v>
      </c>
      <c r="B7" s="10" t="inlineStr">
        <is>
          <t>Top panel</t>
        </is>
      </c>
      <c r="C7" s="10" t="inlineStr">
        <is>
          <t>Total Records Declared</t>
        </is>
      </c>
      <c r="D7" s="10" t="inlineStr">
        <is>
          <t>KPI</t>
        </is>
      </c>
      <c r="E7" s="10" t="inlineStr">
        <is>
          <t>Documents formally declared as records</t>
        </is>
      </c>
      <c r="F7" s="10" t="inlineStr">
        <is>
          <t>EDRMS database</t>
        </is>
      </c>
      <c r="G7" s="10" t="inlineStr">
        <is>
          <t>The EDRMS database, drm-npr, table public."Records"</t>
        </is>
      </c>
      <c r="H7"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7" s="10" t="inlineStr">
        <is>
          <t>The whole table, and the IsDeleted flag</t>
        </is>
      </c>
      <c r="J7" s="10" t="inlineStr">
        <is>
          <t>Run: SELECT COUNT(*) FROM public."Records" WHERE NOT "IsDeleted". About 1,990 in UAT. Every declared record is one row, so the count is the answer with no arithmetic</t>
        </is>
      </c>
      <c r="K7" s="10" t="inlineStr">
        <is>
          <t>1 Utilization Report</t>
        </is>
      </c>
      <c r="L7" s="10" t="inlineStr">
        <is>
          <t>IsDeclaredRecord</t>
        </is>
      </c>
      <c r="M7" s="10" t="inlineStr">
        <is>
          <t>Yes</t>
        </is>
      </c>
      <c r="N7" s="10" t="inlineStr">
        <is>
          <t>Yes</t>
        </is>
      </c>
      <c r="O7" s="10" t="inlineStr">
        <is>
          <t>Easy</t>
        </is>
      </c>
      <c r="P7" s="11" t="inlineStr">
        <is>
          <t>Buildable now</t>
        </is>
      </c>
      <c r="Q7" s="10" t="inlineStr"/>
      <c r="R7" s="10" t="inlineStr"/>
      <c r="S7" s="10" t="inlineStr"/>
      <c r="T7" s="10" t="inlineStr"/>
    </row>
    <row r="8">
      <c r="A8" s="9" t="n">
        <v>4</v>
      </c>
      <c r="B8" s="10" t="inlineStr">
        <is>
          <t>Top panel</t>
        </is>
      </c>
      <c r="C8" s="10" t="inlineStr">
        <is>
          <t>Total Physical Counterparts</t>
        </is>
      </c>
      <c r="D8" s="10" t="inlineStr">
        <is>
          <t>KPI</t>
        </is>
      </c>
      <c r="E8" s="10" t="inlineStr">
        <is>
          <t>Declared records with a paper copy</t>
        </is>
      </c>
      <c r="F8" s="10" t="inlineStr">
        <is>
          <t>EDRMS database</t>
        </is>
      </c>
      <c r="G8" s="10" t="inlineStr">
        <is>
          <t>The EDRMS database, drm-npr, table public."Records"</t>
        </is>
      </c>
      <c r="H8"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8" s="10" t="inlineStr">
        <is>
          <t>The EDRMSMeta JSON column, key HasPhysical</t>
        </is>
      </c>
      <c r="J8" s="10" t="inlineStr">
        <is>
          <t>Run: SELECT COUNT(*) FROM public."Records" WHERE "EDRMSMeta"-&gt;&gt;'HasPhysical' = 'true'. The answer is a subset of Total Records Declared, so it must always be the smaller number</t>
        </is>
      </c>
      <c r="K8" s="10" t="inlineStr">
        <is>
          <t>1 Utilization Report</t>
        </is>
      </c>
      <c r="L8" s="10" t="inlineStr">
        <is>
          <t>HasPhysical</t>
        </is>
      </c>
      <c r="M8" s="10" t="inlineStr">
        <is>
          <t>Yes</t>
        </is>
      </c>
      <c r="N8" s="10" t="inlineStr">
        <is>
          <t>Yes</t>
        </is>
      </c>
      <c r="O8" s="10" t="inlineStr">
        <is>
          <t>Easy</t>
        </is>
      </c>
      <c r="P8" s="11" t="inlineStr">
        <is>
          <t>Buildable now</t>
        </is>
      </c>
      <c r="Q8" s="10" t="inlineStr"/>
      <c r="R8" s="10" t="inlineStr"/>
      <c r="S8" s="10" t="inlineStr"/>
      <c r="T8" s="10" t="inlineStr"/>
    </row>
    <row r="9">
      <c r="A9" s="9" t="n">
        <v>5</v>
      </c>
      <c r="B9" s="10" t="inlineStr">
        <is>
          <t>Top panel</t>
        </is>
      </c>
      <c r="C9" s="10" t="inlineStr">
        <is>
          <t>Total Records Due for Disposal, Next 12 Months</t>
        </is>
      </c>
      <c r="D9" s="10" t="inlineStr">
        <is>
          <t>KPI</t>
        </is>
      </c>
      <c r="E9" s="10" t="inlineStr">
        <is>
          <t>Records reaching end of retention in 12 months</t>
        </is>
      </c>
      <c r="F9" s="10" t="inlineStr">
        <is>
          <t>EDRMS database</t>
        </is>
      </c>
      <c r="G9" s="10" t="inlineStr">
        <is>
          <t>The EDRMS database, drm-npr, table public."Records"</t>
        </is>
      </c>
      <c r="H9"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9" s="10" t="inlineStr">
        <is>
          <t>'EDRMSDueDateForDisposal'</t>
        </is>
      </c>
      <c r="J9" s="10" t="inlineStr">
        <is>
          <t>Run: SELECT COUNT(*) FROM public."Records" WHERE "EDRMSDueDateForDisposal" BETWEEN CURRENT_DATE AND CURRENT_DATE + INTERVAL '12 months'. The date is already computed in the source database, so nothing needs adding up</t>
        </is>
      </c>
      <c r="K9" s="10" t="inlineStr">
        <is>
          <t>1 Utilization Report</t>
        </is>
      </c>
      <c r="L9" s="10" t="inlineStr">
        <is>
          <t>EDRMSDueDateForDisposal</t>
        </is>
      </c>
      <c r="M9" s="10" t="inlineStr">
        <is>
          <t>Yes</t>
        </is>
      </c>
      <c r="N9" s="10" t="inlineStr">
        <is>
          <t>Yes</t>
        </is>
      </c>
      <c r="O9" s="10" t="inlineStr">
        <is>
          <t>Easy</t>
        </is>
      </c>
      <c r="P9" s="11" t="inlineStr">
        <is>
          <t>Buildable now</t>
        </is>
      </c>
      <c r="Q9" s="10" t="inlineStr">
        <is>
          <t>Confirm the 12 month window is the one they want on the tile, and that the 30 day, 90 day and 12 month figures should nest inside one another</t>
        </is>
      </c>
      <c r="R9" s="10" t="inlineStr">
        <is>
          <t>How do we determine the numbers here? Should the KPI change to a more specific title like Total Records Due for Disposal within 12 months or something similar?</t>
        </is>
      </c>
      <c r="S9" s="10" t="inlineStr">
        <is>
          <t>NOT VERIFIED: whether EDRMSDueDateForDisposal is actually populated. Run SELECT COUNT(*), COUNT("EDRMSDueDateForDisposal") FROM public."Records". If coverage is low, this KPI measures retention label coverage rather than disposal workload, which is a different thing wearing the same name.
Records carrying no retention label have no due date and drop out of this figure SILENTLY. Nothing on screen says so. 'Records without a retention schedule' has to stay visible beside this KPI or the number flatters.
Due for disposal does not mean awaiting action. Nothing records whether a disposal actually happened, because there is no DisposalStatus field. That is an application change for development, not a report change, and it is why S/N 36 to 38 on this sheet cannot be built.</t>
        </is>
      </c>
      <c r="T9" s="10" t="inlineStr">
        <is>
          <t>DECIDED: change the KPI title to include the window. It now reads 'Total Records Due for Disposal, Next 12 Months'.
This is consistent with the caption rule, which bans computed numbers in a label, not definitions. A window in the title is part of what the figure IS.
The 30 day, 90 day and 12 month figures must NEST: the 30 cannot exceed the 90, which cannot exceed the 12 month. If they do not nest, the query is wrong.
'Records beyond retention period' stays visibly separate as the backlog. It is not part of what is falling due, it is what already fell due and was never actioned.</t>
        </is>
      </c>
    </row>
    <row r="10">
      <c r="A10" s="9" t="n">
        <v>6</v>
      </c>
      <c r="B10" s="10" t="inlineStr">
        <is>
          <t>Top panel</t>
        </is>
      </c>
      <c r="C10" s="10" t="inlineStr">
        <is>
          <t>Active EDRMS Sites, Department / RM / Office</t>
        </is>
      </c>
      <c r="D10" s="10" t="inlineStr">
        <is>
          <t>KPI</t>
        </is>
      </c>
      <c r="E10" s="10" t="inlineStr">
        <is>
          <t>Compliant sites still in use</t>
        </is>
      </c>
      <c r="F10" s="10" t="inlineStr">
        <is>
          <t>AvePoint Cloud Governance</t>
        </is>
      </c>
      <c r="G10" s="10" t="inlineStr">
        <is>
          <t>Cloud Governance Workspace report, exported as CSV</t>
        </is>
      </c>
      <c r="H10" s="10" t="inlineStr">
        <is>
          <t>0. FOR ADB PRODUCTION: same product, same screen, same columns. Only the AvePoint Online Services instance differs. Ask Leah Bancale for access or for the export itself
1. Open AvePoint Online Services, then Cloud Governance
2. Left nav: Directory, then Workspace report
3. Click Export report, top left. The file is queued, not downloaded immediately
4. Collect it from Job monitor in the left nav when the job shows green
5. The export carries 93 columns and one row per workspace, 1,209 in the test tenant. 45 of those columns are empty on every row, so check population before relying on one
6. The column that matters is 'EDRMS Site Type'. Filter to rows where it is not blank</t>
        </is>
      </c>
      <c r="I10" s="10" t="inlineStr">
        <is>
          <t>'EDRMS Site Type', 'Status', 'Last Active Time', 'Department'</t>
        </is>
      </c>
      <c r="J10" s="10" t="inlineStr">
        <is>
          <t>Filter to rows where 'EDRMS Site Type' is not blank, which is the compliant site list, then keep rows where 'Status' is Active, then count. In the test tenant that is 1,032 sites of 1,209 workspaces. Break down by 'Department'. This REPLACES the earlier recipe over the M365 usage export, which could not apply a compliance filter at all and fills Last Activity Date on only 381 of 1,918 live sites. Cloud Governance fills it on every row</t>
        </is>
      </c>
      <c r="K10" s="10" t="inlineStr">
        <is>
          <t>2 Site Activity</t>
        </is>
      </c>
      <c r="L10" s="10" t="inlineStr">
        <is>
          <t>IsEdrmsCompliant, LastActivityDate, ADBDepartmentOwner</t>
        </is>
      </c>
      <c r="M10" s="10" t="inlineStr">
        <is>
          <t>Yes, 2 need a rule</t>
        </is>
      </c>
      <c r="N10" s="10" t="inlineStr">
        <is>
          <t>Yes, in test</t>
        </is>
      </c>
      <c r="O10" s="10" t="inlineStr">
        <is>
          <t>Easy</t>
        </is>
      </c>
      <c r="P10" s="12" t="inlineStr">
        <is>
          <t>Needs department list</t>
        </is>
      </c>
      <c r="Q10" s="10" t="inlineStr">
        <is>
          <t>Ask Leah Bancale for the PRODUCTION Cloud Governance Workspace report export, and whether a converted site is recorded in Cloud Governance the same way a created one is. Why: 'EDRMS Site Type' in that export is the compliant site list, so this single file defines which sites are in the report at all. Also Ask whether an inactive site is 90 days or 300. The deck says 90, the metrics document says 300. Why: it changes every inactivity figure, and it is a one line change either way</t>
        </is>
      </c>
      <c r="R10" s="10" t="inlineStr">
        <is>
          <t>How do we determine the list of all edrms compliant sites? Currently we know a site is an edrms compliant if it gets cg adopted. How are we going to know these list? Is it possible that all sites in the cloud governance be the count for this? Essentially when a site is cg created it is found in cloud governance and is it possible that all cg adopted sites are going to be move to the cloud governance then from there we can get the list?</t>
        </is>
      </c>
      <c r="S10" s="10" t="inlineStr">
        <is>
          <t>ANSWERED 14 Aug 2026 by exporting the Cloud Governance Workspace report.
The export carries 93 columns over 1,209 workspaces. The column 'EDRMS Site Type' is populated on 1,032 rows with a single value, 'EDRMS Project Site'. It is a yes/no flag and it is the compliant site list. The 177 blanks are template and admin sites: edrmstemplate, template_drmdefault, app_edrms_data.
1,032 against the 1,057 placeholder that has been in the prototype since before this project. Nobody could justify that number. It was close.
'Department' is populated on 1,030 of the 1,032. That is the site to department mapping RAC has been asked for and 29 requirements have been waiting on. BUT 240 sites carry SEVERAL departments, semicolon separated, such as ADBI;BOD and ADBI;BOD;CSD;CWRD;SARD. That is 23 percent, and it contradicts the 10 August decision that a site has one department owner.
Also arriving with it, all 100 percent populated over the 1,032: Created Time, Last Active Time, Primary Business Owner, Storage Used (GB), Storage Quota (GB), External Sharing for Site, and Status as Active, Locked or Archived.
'Last Active Time' is the important one for THIS row. The M365 usage export fills Last Activity Date on only 381 of 1,918 live sites, so most sites cannot be judged active or inactive from it. Cloud Governance fills it on every row.
NOT VERIFIED: whether every workspace carrying 'EDRMS Site Type' actually has the app installed. A register records intent. The app records reality. They can drift and nothing announces it.
TEST TENANT. Every URL is 7rkd12 and the site names are generated, such as dane-Site-Title-ddos-125. No count here transfers to production.</t>
        </is>
      </c>
      <c r="T10" s="10" t="inlineStr">
        <is>
          <t>Get the list from the cloud governance. In cloud gov, sites listed are both cg adopted and cg created which are the basis of the edrms compliant site number.
Leah Bancale confirmed on 14 Aug that EDRMS sites exist which did not come through Cloud Governance originally, and that those get converted to become compliant. So the CG CREATED list alone would be incomplete: it would miss every converted site, and those are the older, established departmental sites most likely to hold the largest volume of declared records.
This is the better definition, not merely the easier one. A site RAC designated as EDRMS where the app deployment failed disappears entirely under a technical test, and nobody ever learns it is broken. Under the register it appears with zero declared records and somebody asks why. That gap is a compliance finding worth reporting.
STILL TO DO:
1. Get the PRODUCTION export. Everything above is structure learned from the test tenant.
2. Confirm a converted site is recorded in Cloud Governance the same way a created one is.
3. Validate the register against the app once, on a sample of about twenty sites, in both directions.
4. Put the multi-department question to RAC. Either a document counts to several departments, and departmental totals will not sum to the bank-wide figure, or one is picked as primary and the rest are dropped.</t>
        </is>
      </c>
    </row>
    <row r="11">
      <c r="A11" s="9" t="n">
        <v>7</v>
      </c>
      <c r="B11" s="10" t="inlineStr">
        <is>
          <t>Top panel</t>
        </is>
      </c>
      <c r="C11" s="10" t="inlineStr">
        <is>
          <t>Active EDRMS Sites, Sovereign Projects</t>
        </is>
      </c>
      <c r="D11" s="10" t="inlineStr">
        <is>
          <t>KPI</t>
        </is>
      </c>
      <c r="E11" s="10" t="inlineStr">
        <is>
          <t>Sites belonging to sovereign projects</t>
        </is>
      </c>
      <c r="F11" s="10" t="inlineStr">
        <is>
          <t>No source</t>
        </is>
      </c>
      <c r="G11" s="10" t="inlineStr">
        <is>
          <t>No file exists</t>
        </is>
      </c>
      <c r="H11" s="10" t="inlineStr">
        <is>
          <t>There is nothing to open. No system this report can reach holds this figure. See the question column for who to ask</t>
        </is>
      </c>
      <c r="I11" s="10" t="inlineStr">
        <is>
          <t>No column in any export identifies a project site</t>
        </is>
      </c>
      <c r="J11" s="10" t="inlineStr">
        <is>
          <t>Cannot be worked out. Once a project register exists, it would be: count the sites whose project number is a sovereign facility</t>
        </is>
      </c>
      <c r="K11" s="10" t="inlineStr">
        <is>
          <t>2 Site Activity</t>
        </is>
      </c>
      <c r="L11" s="10" t="inlineStr">
        <is>
          <t>No column exists</t>
        </is>
      </c>
      <c r="M11" s="10" t="inlineStr">
        <is>
          <t>No</t>
        </is>
      </c>
      <c r="N11" s="10" t="inlineStr">
        <is>
          <t>No</t>
        </is>
      </c>
      <c r="O11" s="10" t="inlineStr">
        <is>
          <t>Blocked</t>
        </is>
      </c>
      <c r="P11" s="13" t="inlineStr">
        <is>
          <t>Needs new data source</t>
        </is>
      </c>
      <c r="Q11" s="10" t="inlineStr">
        <is>
          <t>Ask whether a project site register exists: site URL to project number, and sovereign or nonsovereign. Check Cloud Governance first. Why: it is the only thing missing for the whole Project Insights dashboard, every measure on it is already producible</t>
        </is>
      </c>
      <c r="R11" s="10" t="inlineStr"/>
      <c r="S11" s="10" t="inlineStr"/>
      <c r="T11" s="10" t="inlineStr"/>
    </row>
    <row r="12">
      <c r="A12" s="9" t="n">
        <v>8</v>
      </c>
      <c r="B12" s="10" t="inlineStr">
        <is>
          <t>Top panel</t>
        </is>
      </c>
      <c r="C12" s="10" t="inlineStr">
        <is>
          <t>Active EDRMS Sites, Nonsovereign Projects</t>
        </is>
      </c>
      <c r="D12" s="10" t="inlineStr">
        <is>
          <t>KPI</t>
        </is>
      </c>
      <c r="E12" s="10" t="inlineStr">
        <is>
          <t>Sites belonging to nonsovereign projects</t>
        </is>
      </c>
      <c r="F12" s="10" t="inlineStr">
        <is>
          <t>No source</t>
        </is>
      </c>
      <c r="G12" s="10" t="inlineStr">
        <is>
          <t>No file exists</t>
        </is>
      </c>
      <c r="H12" s="10" t="inlineStr">
        <is>
          <t>There is nothing to open. No system this report can reach holds this figure. See the question column for who to ask</t>
        </is>
      </c>
      <c r="I12" s="10" t="inlineStr">
        <is>
          <t>No column in any export identifies a project site</t>
        </is>
      </c>
      <c r="J12" s="10" t="inlineStr">
        <is>
          <t>Cannot be worked out. Same as the row above, filtered to nonsovereign</t>
        </is>
      </c>
      <c r="K12" s="10" t="inlineStr">
        <is>
          <t>2 Site Activity</t>
        </is>
      </c>
      <c r="L12" s="10" t="inlineStr">
        <is>
          <t>No column exists</t>
        </is>
      </c>
      <c r="M12" s="10" t="inlineStr">
        <is>
          <t>No</t>
        </is>
      </c>
      <c r="N12" s="10" t="inlineStr">
        <is>
          <t>No</t>
        </is>
      </c>
      <c r="O12" s="10" t="inlineStr">
        <is>
          <t>Blocked</t>
        </is>
      </c>
      <c r="P12" s="13" t="inlineStr">
        <is>
          <t>Needs new data source</t>
        </is>
      </c>
      <c r="Q12" s="10" t="inlineStr">
        <is>
          <t>Ask whether a project site register exists: site URL to project number, and sovereign or nonsovereign. Check Cloud Governance first. Why: it is the only thing missing for the whole Project Insights dashboard, every measure on it is already producible</t>
        </is>
      </c>
      <c r="R12" s="10" t="inlineStr"/>
      <c r="S12" s="10" t="inlineStr"/>
      <c r="T12" s="10" t="inlineStr"/>
    </row>
    <row r="13">
      <c r="A13" s="9" t="n">
        <v>9</v>
      </c>
      <c r="B13" s="10" t="inlineStr">
        <is>
          <t>Users drill</t>
        </is>
      </c>
      <c r="C13" s="10" t="inlineStr">
        <is>
          <t>Never accessed EDRMS</t>
        </is>
      </c>
      <c r="D13" s="10" t="inlineStr">
        <is>
          <t>Tile</t>
        </is>
      </c>
      <c r="E13" s="10" t="inlineStr">
        <is>
          <t>Licensed users who have never opened anything</t>
        </is>
      </c>
      <c r="F13" s="10" t="inlineStr">
        <is>
          <t>M365 usage report</t>
        </is>
      </c>
      <c r="G13" s="10" t="inlineStr">
        <is>
          <t>SharePoint activity user detail report, exported as CSV</t>
        </is>
      </c>
      <c r="H13" s="10" t="inlineStr">
        <is>
          <t>1. Go to https://admin.microsoft.com/#/reportsUsage/SharePointActivity
   (tenant independent URL: signing in as an ADB reports reader gives ADB figures)
2. Sign in as a Microsoft 365 reports reader or global reader
3. Set the period selector to 30 days
4. Click Export. A CSV downloads, named like SharePointActivityUserDetail_2026-08-12.csv
5. Open it in Excel. It has 12 columns and one row per LICENSED user, 30 rows in the test tenant. It is NOT a list of active users, which is the mistake to avoid</t>
        </is>
      </c>
      <c r="I13" s="10" t="inlineStr">
        <is>
          <t>'Last Activity Date'</t>
        </is>
      </c>
      <c r="J13" s="10" t="inlineStr">
        <is>
          <t>Count the rows where 'Last Activity Date' is BLANK. In the test tenant that is 5 of the 30 rows. A blank means the person has a licence but has never touched SharePoint</t>
        </is>
      </c>
      <c r="K13" s="10" t="inlineStr">
        <is>
          <t>3 User Activity</t>
        </is>
      </c>
      <c r="L13" s="10" t="inlineStr">
        <is>
          <t>LastActivityDate</t>
        </is>
      </c>
      <c r="M13" s="10" t="inlineStr">
        <is>
          <t>Yes</t>
        </is>
      </c>
      <c r="N13" s="10" t="inlineStr">
        <is>
          <t>Yes</t>
        </is>
      </c>
      <c r="O13" s="10" t="inlineStr">
        <is>
          <t>Easy</t>
        </is>
      </c>
      <c r="P13" s="11" t="inlineStr">
        <is>
          <t>Buildable now</t>
        </is>
      </c>
      <c r="Q13" s="10" t="inlineStr"/>
      <c r="R13" s="10" t="inlineStr"/>
      <c r="S13" s="10" t="inlineStr"/>
      <c r="T13" s="10" t="inlineStr"/>
    </row>
    <row r="14">
      <c r="A14" s="9" t="n">
        <v>10</v>
      </c>
      <c r="B14" s="10" t="inlineStr">
        <is>
          <t>Users drill</t>
        </is>
      </c>
      <c r="C14" s="10" t="inlineStr">
        <is>
          <t>No access in 90 days</t>
        </is>
      </c>
      <c r="D14" s="10" t="inlineStr">
        <is>
          <t>Tile</t>
        </is>
      </c>
      <c r="E14" s="10" t="inlineStr">
        <is>
          <t>Users who have gone quiet</t>
        </is>
      </c>
      <c r="F14" s="10" t="inlineStr">
        <is>
          <t>M365 usage report</t>
        </is>
      </c>
      <c r="G14" s="10" t="inlineStr">
        <is>
          <t>SharePoint activity user detail report, exported as CSV</t>
        </is>
      </c>
      <c r="H14" s="10" t="inlineStr">
        <is>
          <t>1. Go to https://admin.microsoft.com/#/reportsUsage/SharePointActivity
   (tenant independent URL: signing in as an ADB reports reader gives ADB figures)
2. Sign in as a Microsoft 365 reports reader or global reader
3. Set the period selector to 30 days
4. Click Export. A CSV downloads, named like SharePointActivityUserDetail_2026-08-12.csv
5. Open it in Excel. It has 12 columns and one row per LICENSED user, 30 rows in the test tenant. It is NOT a list of active users, which is the mistake to avoid</t>
        </is>
      </c>
      <c r="I14" s="10" t="inlineStr">
        <is>
          <t>'Last Activity Date'</t>
        </is>
      </c>
      <c r="J14" s="10" t="inlineStr">
        <is>
          <t>Count rows where 'Last Activity Date' is not blank AND is older than 90 days from the 'Report Refresh Date' at the top of the same row. Use the refresh date, not today, because Microsoft's figures lag by about two days</t>
        </is>
      </c>
      <c r="K14" s="10" t="inlineStr">
        <is>
          <t>3 User Activity</t>
        </is>
      </c>
      <c r="L14" s="10" t="inlineStr">
        <is>
          <t>LastActivityDate</t>
        </is>
      </c>
      <c r="M14" s="10" t="inlineStr">
        <is>
          <t>Yes</t>
        </is>
      </c>
      <c r="N14" s="10" t="inlineStr">
        <is>
          <t>Yes</t>
        </is>
      </c>
      <c r="O14" s="10" t="inlineStr">
        <is>
          <t>Easy</t>
        </is>
      </c>
      <c r="P14" s="11" t="inlineStr">
        <is>
          <t>Buildable now</t>
        </is>
      </c>
      <c r="Q14" s="10" t="inlineStr"/>
      <c r="R14" s="10" t="inlineStr"/>
      <c r="S14" s="10" t="inlineStr"/>
      <c r="T14" s="10" t="inlineStr"/>
    </row>
    <row r="15">
      <c r="A15" s="9" t="n">
        <v>11</v>
      </c>
      <c r="B15" s="10" t="inlineStr">
        <is>
          <t>Users drill</t>
        </is>
      </c>
      <c r="C15" s="10" t="inlineStr">
        <is>
          <t>Staff, Contractors, Consultants</t>
        </is>
      </c>
      <c r="D15" s="10" t="inlineStr">
        <is>
          <t>Table column</t>
        </is>
      </c>
      <c r="E15" s="10" t="inlineStr">
        <is>
          <t>Employment class of each user</t>
        </is>
      </c>
      <c r="F15" s="10" t="inlineStr">
        <is>
          <t>No source</t>
        </is>
      </c>
      <c r="G15" s="10" t="inlineStr">
        <is>
          <t>No file exists</t>
        </is>
      </c>
      <c r="H15" s="10" t="inlineStr">
        <is>
          <t>There is nothing to open. No system this report can reach holds this figure. See the question column for who to ask</t>
        </is>
      </c>
      <c r="I15" s="10" t="inlineStr">
        <is>
          <t>Nothing in the user export gives employment type. 'Assigned Products' gives the licence name only, such as MICROSOFT 365 E5 DEVELOPER</t>
        </is>
      </c>
      <c r="J15" s="10" t="inlineStr">
        <is>
          <t>Cannot be worked out from any Microsoft export. It would be a join from an HR or LMS extract on 'User Principal Name'</t>
        </is>
      </c>
      <c r="K15" s="10" t="inlineStr">
        <is>
          <t>3 User Activity</t>
        </is>
      </c>
      <c r="L15" s="10" t="inlineStr">
        <is>
          <t>No column exists</t>
        </is>
      </c>
      <c r="M15" s="10" t="inlineStr">
        <is>
          <t>No</t>
        </is>
      </c>
      <c r="N15" s="10" t="inlineStr">
        <is>
          <t>No</t>
        </is>
      </c>
      <c r="O15" s="10" t="inlineStr">
        <is>
          <t>Blocked</t>
        </is>
      </c>
      <c r="P15" s="13" t="inlineStr">
        <is>
          <t>Needs new data source</t>
        </is>
      </c>
      <c r="Q15" s="10" t="inlineStr">
        <is>
          <t>Ask which system owns staff, contractor and consultant classification and training completion. The client asks the same question on their own slide 54. Why: nothing in SharePoint holds it</t>
        </is>
      </c>
      <c r="R15" s="10" t="inlineStr"/>
      <c r="S15" s="10" t="inlineStr"/>
      <c r="T15" s="10" t="inlineStr"/>
    </row>
    <row r="16">
      <c r="A16" s="9" t="n">
        <v>12</v>
      </c>
      <c r="B16" s="10" t="inlineStr">
        <is>
          <t>Users drill</t>
        </is>
      </c>
      <c r="C16" s="10" t="inlineStr">
        <is>
          <t>Training completion</t>
        </is>
      </c>
      <c r="D16" s="10" t="inlineStr">
        <is>
          <t>Tile</t>
        </is>
      </c>
      <c r="E16" s="10" t="inlineStr">
        <is>
          <t>Share of users who completed training</t>
        </is>
      </c>
      <c r="F16" s="10" t="inlineStr">
        <is>
          <t>No source</t>
        </is>
      </c>
      <c r="G16" s="10" t="inlineStr">
        <is>
          <t>No file exists</t>
        </is>
      </c>
      <c r="H16" s="10" t="inlineStr">
        <is>
          <t>There is nothing to open. No system this report can reach holds this figure. See the question column for who to ask</t>
        </is>
      </c>
      <c r="I16" s="10" t="inlineStr">
        <is>
          <t>No column exists in any Microsoft export</t>
        </is>
      </c>
      <c r="J16" s="10" t="inlineStr">
        <is>
          <t>Cannot be worked out. Would be completed / total, both from a training system</t>
        </is>
      </c>
      <c r="K16" s="10" t="inlineStr">
        <is>
          <t>None</t>
        </is>
      </c>
      <c r="L16" s="10" t="inlineStr">
        <is>
          <t>No column exists</t>
        </is>
      </c>
      <c r="M16" s="10" t="inlineStr">
        <is>
          <t>No</t>
        </is>
      </c>
      <c r="N16" s="10" t="inlineStr">
        <is>
          <t>No</t>
        </is>
      </c>
      <c r="O16" s="10" t="inlineStr">
        <is>
          <t>Blocked</t>
        </is>
      </c>
      <c r="P16" s="14" t="inlineStr">
        <is>
          <t>Needs reference list</t>
        </is>
      </c>
      <c r="Q16" s="10" t="inlineStr">
        <is>
          <t>Ask which system owns staff, contractor and consultant classification and training completion. The client asks the same question on their own slide 54. Why: nothing in SharePoint holds it</t>
        </is>
      </c>
      <c r="R16" s="10" t="inlineStr"/>
      <c r="S16" s="10" t="inlineStr"/>
      <c r="T16" s="10" t="inlineStr"/>
    </row>
    <row r="17">
      <c r="A17" s="9" t="n">
        <v>13</v>
      </c>
      <c r="B17" s="10" t="inlineStr">
        <is>
          <t>Users drill</t>
        </is>
      </c>
      <c r="C17" s="10" t="inlineStr">
        <is>
          <t>By department</t>
        </is>
      </c>
      <c r="D17" s="10" t="inlineStr">
        <is>
          <t>Table column</t>
        </is>
      </c>
      <c r="E17" s="10" t="inlineStr">
        <is>
          <t>Every user figure cut by department</t>
        </is>
      </c>
      <c r="F17" s="10" t="inlineStr">
        <is>
          <t>No source</t>
        </is>
      </c>
      <c r="G17" s="10" t="inlineStr">
        <is>
          <t>No file exists</t>
        </is>
      </c>
      <c r="H17" s="10" t="inlineStr">
        <is>
          <t>There is nothing to open. No system this report can reach holds this figure. See the question column for who to ask</t>
        </is>
      </c>
      <c r="I17" s="10" t="inlineStr">
        <is>
          <t>No department column exists in the user export</t>
        </is>
      </c>
      <c r="J17" s="10" t="inlineStr">
        <is>
          <t>Cannot be worked out yet. Once the RAC list exists: match the user to their sites, then to the department that owns those sites</t>
        </is>
      </c>
      <c r="K17" s="10" t="inlineStr">
        <is>
          <t>3 User Activity</t>
        </is>
      </c>
      <c r="L17" s="10" t="inlineStr">
        <is>
          <t>ADBDepartmentOwner</t>
        </is>
      </c>
      <c r="M17" s="10" t="inlineStr">
        <is>
          <t>Column exists, unpopulated</t>
        </is>
      </c>
      <c r="N17" s="10" t="inlineStr">
        <is>
          <t>No</t>
        </is>
      </c>
      <c r="O17" s="10" t="inlineStr">
        <is>
          <t>Easy</t>
        </is>
      </c>
      <c r="P17" s="12" t="inlineStr">
        <is>
          <t>Needs department list</t>
        </is>
      </c>
      <c r="Q17" s="10" t="inlineStr">
        <is>
          <t>Ask RAC for the site to department list, roughly 1,057 rows, one department per site URL. Check AvePoint Cloud Governance first, it may already hold it from the site request. Why: this single list unlocks every departmental figure in the report</t>
        </is>
      </c>
      <c r="R17" s="10" t="inlineStr"/>
      <c r="S17" s="10" t="inlineStr"/>
      <c r="T17" s="10" t="inlineStr"/>
    </row>
    <row r="18">
      <c r="A18" s="9" t="n">
        <v>14</v>
      </c>
      <c r="B18" s="10" t="inlineStr">
        <is>
          <t>Documents drill</t>
        </is>
      </c>
      <c r="C18" s="10" t="inlineStr">
        <is>
          <t>Documents held per department</t>
        </is>
      </c>
      <c r="D18" s="10" t="inlineStr">
        <is>
          <t>Table column</t>
        </is>
      </c>
      <c r="E18" s="10" t="inlineStr">
        <is>
          <t>Volume of content</t>
        </is>
      </c>
      <c r="F18" s="10" t="inlineStr">
        <is>
          <t>M365 usage report</t>
        </is>
      </c>
      <c r="G18" s="10" t="inlineStr">
        <is>
          <t>SharePoint site usage report, exported as CSV</t>
        </is>
      </c>
      <c r="H18"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18" s="10" t="inlineStr">
        <is>
          <t>'File Count' and 'Site Id'</t>
        </is>
      </c>
      <c r="J18" s="10" t="inlineStr">
        <is>
          <t>Sum 'File Count' grouped by the department that owns each site. The department comes from the RAC list matched on site, it is not in the export</t>
        </is>
      </c>
      <c r="K18" s="10" t="inlineStr">
        <is>
          <t>1 Utilization Report</t>
        </is>
      </c>
      <c r="L18" s="10" t="inlineStr">
        <is>
          <t>FileCreatedDate, SiteUrl</t>
        </is>
      </c>
      <c r="M18" s="10" t="inlineStr">
        <is>
          <t>Yes</t>
        </is>
      </c>
      <c r="N18" s="10" t="inlineStr">
        <is>
          <t>Partly</t>
        </is>
      </c>
      <c r="O18" s="10" t="inlineStr">
        <is>
          <t>Medium</t>
        </is>
      </c>
      <c r="P18" s="12" t="inlineStr">
        <is>
          <t>Needs department list</t>
        </is>
      </c>
      <c r="Q18" s="10" t="inlineStr">
        <is>
          <t>Ask RAC for the site to department list, roughly 1,057 rows, one department per site URL. Check AvePoint Cloud Governance first, it may already hold it from the site request. Why: this single list unlocks every departmental figure in the report</t>
        </is>
      </c>
      <c r="R18" s="10" t="inlineStr"/>
      <c r="S18" s="10" t="inlineStr"/>
      <c r="T18" s="10" t="inlineStr"/>
    </row>
    <row r="19">
      <c r="A19" s="9" t="n">
        <v>15</v>
      </c>
      <c r="B19" s="10" t="inlineStr">
        <is>
          <t>Documents drill</t>
        </is>
      </c>
      <c r="C19" s="10" t="inlineStr">
        <is>
          <t>Storage per department</t>
        </is>
      </c>
      <c r="D19" s="10" t="inlineStr">
        <is>
          <t>Table column</t>
        </is>
      </c>
      <c r="E19" s="10" t="inlineStr">
        <is>
          <t>Space consumed</t>
        </is>
      </c>
      <c r="F19" s="10" t="inlineStr">
        <is>
          <t>M365 usage report</t>
        </is>
      </c>
      <c r="G19" s="10" t="inlineStr">
        <is>
          <t>SharePoint site usage report, exported as CSV</t>
        </is>
      </c>
      <c r="H19"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19" s="10" t="inlineStr">
        <is>
          <t>'Storage Used (Byte)'</t>
        </is>
      </c>
      <c r="J19" s="10" t="inlineStr">
        <is>
          <t>Sum 'Storage Used (Byte)' then divide by 1,073,741,824 to get GB. The test tenant totals 142.4 GB. NOTE this includes version history, so it reads higher than the sum of file sizes, which is expected and not an error</t>
        </is>
      </c>
      <c r="K19" s="10" t="inlineStr">
        <is>
          <t>2 Site Activity</t>
        </is>
      </c>
      <c r="L19" s="10" t="inlineStr">
        <is>
          <t>StorageUsed</t>
        </is>
      </c>
      <c r="M19" s="10" t="inlineStr">
        <is>
          <t>Yes</t>
        </is>
      </c>
      <c r="N19" s="10" t="inlineStr">
        <is>
          <t>Yes</t>
        </is>
      </c>
      <c r="O19" s="10" t="inlineStr">
        <is>
          <t>Easy</t>
        </is>
      </c>
      <c r="P19" s="12" t="inlineStr">
        <is>
          <t>Needs department list</t>
        </is>
      </c>
      <c r="Q19" s="10" t="inlineStr">
        <is>
          <t>Ask RAC for the site to department list, roughly 1,057 rows, one department per site URL. Check AvePoint Cloud Governance first, it may already hold it from the site request. Why: this single list unlocks every departmental figure in the report</t>
        </is>
      </c>
      <c r="R19" s="10" t="inlineStr"/>
      <c r="S19" s="10" t="inlineStr"/>
      <c r="T19" s="10" t="inlineStr"/>
    </row>
    <row r="20">
      <c r="A20" s="9" t="n">
        <v>16</v>
      </c>
      <c r="B20" s="10" t="inlineStr">
        <is>
          <t>Documents drill</t>
        </is>
      </c>
      <c r="C20" s="10" t="inlineStr">
        <is>
          <t>Users creating documents</t>
        </is>
      </c>
      <c r="D20" s="10" t="inlineStr">
        <is>
          <t>Table column</t>
        </is>
      </c>
      <c r="E20" s="10" t="inlineStr">
        <is>
          <t>Distinct authors</t>
        </is>
      </c>
      <c r="F20" s="10" t="inlineStr">
        <is>
          <t>No source</t>
        </is>
      </c>
      <c r="G20" s="10" t="inlineStr">
        <is>
          <t>No file exists</t>
        </is>
      </c>
      <c r="H20" s="10" t="inlineStr">
        <is>
          <t>There is nothing to open. No system this report can reach holds this figure. See the question column for who to ask</t>
        </is>
      </c>
      <c r="I20" s="10" t="inlineStr">
        <is>
          <t>No author column exists in any export, and the scan does not capture one</t>
        </is>
      </c>
      <c r="J20" s="10" t="inlineStr">
        <is>
          <t>Cannot be worked out for undeclared documents. For declared records only, it would be COUNT(DISTINCT "CreatedBy") on the Records table, which counts declarers not authors</t>
        </is>
      </c>
      <c r="K20" s="10" t="inlineStr">
        <is>
          <t>1 Utilization Report</t>
        </is>
      </c>
      <c r="L20" s="10" t="inlineStr">
        <is>
          <t>CreatedBy covers declarers only</t>
        </is>
      </c>
      <c r="M20" s="10" t="inlineStr">
        <is>
          <t>Partly</t>
        </is>
      </c>
      <c r="N20" s="10" t="inlineStr">
        <is>
          <t>No</t>
        </is>
      </c>
      <c r="O20" s="10" t="inlineStr">
        <is>
          <t>Medium</t>
        </is>
      </c>
      <c r="P20" s="15" t="inlineStr">
        <is>
          <t>Needs new column or join</t>
        </is>
      </c>
      <c r="Q20" s="10" t="inlineStr">
        <is>
          <t>Ask the development team to capture Author on the document scan. Why: without it, creation activity can only be measured for records, not for documents</t>
        </is>
      </c>
      <c r="R20" s="10" t="inlineStr"/>
      <c r="S20" s="10" t="inlineStr"/>
      <c r="T20" s="10" t="inlineStr"/>
    </row>
    <row r="21">
      <c r="A21" s="9" t="n">
        <v>17</v>
      </c>
      <c r="B21" s="10" t="inlineStr">
        <is>
          <t>Records drill</t>
        </is>
      </c>
      <c r="C21" s="10" t="inlineStr">
        <is>
          <t>Records declared per department</t>
        </is>
      </c>
      <c r="D21" s="10" t="inlineStr">
        <is>
          <t>Table column</t>
        </is>
      </c>
      <c r="E21" s="10" t="inlineStr">
        <is>
          <t>Declaration volume</t>
        </is>
      </c>
      <c r="F21" s="10" t="inlineStr">
        <is>
          <t>EDRMS database</t>
        </is>
      </c>
      <c r="G21" s="10" t="inlineStr">
        <is>
          <t>The EDRMS database, drm-npr, table public."Records"</t>
        </is>
      </c>
      <c r="H21"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21" s="10" t="inlineStr">
        <is>
          <t>The whole table, plus SiteUrl to attach a department</t>
        </is>
      </c>
      <c r="J21" s="10" t="inlineStr">
        <is>
          <t>SELECT COUNT(*) FROM public."Records" GROUP BY the department that owns "SiteUrl". The department itself comes from the RAC list, matched on site URL</t>
        </is>
      </c>
      <c r="K21" s="10" t="inlineStr">
        <is>
          <t>1 Utilization Report</t>
        </is>
      </c>
      <c r="L21" s="10" t="inlineStr">
        <is>
          <t>IsDeclaredRecord, ADBDepartmentOwner</t>
        </is>
      </c>
      <c r="M21" s="10" t="inlineStr">
        <is>
          <t>Yes</t>
        </is>
      </c>
      <c r="N21" s="10" t="inlineStr">
        <is>
          <t>Partly</t>
        </is>
      </c>
      <c r="O21" s="10" t="inlineStr">
        <is>
          <t>Easy</t>
        </is>
      </c>
      <c r="P21" s="12" t="inlineStr">
        <is>
          <t>Needs department list</t>
        </is>
      </c>
      <c r="Q21" s="10" t="inlineStr">
        <is>
          <t>Ask RAC for the site to department list, roughly 1,057 rows, one department per site URL. Check AvePoint Cloud Governance first, it may already hold it from the site request. Why: this single list unlocks every departmental figure in the report</t>
        </is>
      </c>
      <c r="R21" s="10" t="inlineStr"/>
      <c r="S21" s="10" t="inlineStr"/>
      <c r="T21" s="10" t="inlineStr"/>
    </row>
    <row r="22">
      <c r="A22" s="9" t="n">
        <v>18</v>
      </c>
      <c r="B22" s="10" t="inlineStr">
        <is>
          <t>Records drill</t>
        </is>
      </c>
      <c r="C22" s="10" t="inlineStr">
        <is>
          <t>Users declaring records</t>
        </is>
      </c>
      <c r="D22" s="10" t="inlineStr">
        <is>
          <t>Table column</t>
        </is>
      </c>
      <c r="E22" s="10" t="inlineStr">
        <is>
          <t>How many people are declaring</t>
        </is>
      </c>
      <c r="F22" s="10" t="inlineStr">
        <is>
          <t>EDRMS database</t>
        </is>
      </c>
      <c r="G22" s="10" t="inlineStr">
        <is>
          <t>The EDRMS database, drm-npr, table public."Records"</t>
        </is>
      </c>
      <c r="H22"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22" s="10" t="inlineStr">
        <is>
          <t>'CreatedBy'</t>
        </is>
      </c>
      <c r="J22" s="10" t="inlineStr">
        <is>
          <t>SELECT COUNT(DISTINCT "CreatedBy") FROM public."Records". Distinct, not a row count, or one person declaring 400 records counts 400 times</t>
        </is>
      </c>
      <c r="K22" s="10" t="inlineStr">
        <is>
          <t>1 Utilization Report</t>
        </is>
      </c>
      <c r="L22" s="10" t="inlineStr">
        <is>
          <t>CreatedBy</t>
        </is>
      </c>
      <c r="M22" s="10" t="inlineStr">
        <is>
          <t>Yes</t>
        </is>
      </c>
      <c r="N22" s="10" t="inlineStr">
        <is>
          <t>Yes</t>
        </is>
      </c>
      <c r="O22" s="10" t="inlineStr">
        <is>
          <t>Easy</t>
        </is>
      </c>
      <c r="P22" s="12" t="inlineStr">
        <is>
          <t>Needs department list</t>
        </is>
      </c>
      <c r="Q22" s="10" t="inlineStr">
        <is>
          <t>Ask RAC for the site to department list, roughly 1,057 rows, one department per site URL. Check AvePoint Cloud Governance first, it may already hold it from the site request. Why: this single list unlocks every departmental figure in the report</t>
        </is>
      </c>
      <c r="R22" s="10" t="inlineStr"/>
      <c r="S22" s="10" t="inlineStr"/>
      <c r="T22" s="10" t="inlineStr"/>
    </row>
    <row r="23">
      <c r="A23" s="9" t="n">
        <v>19</v>
      </c>
      <c r="B23" s="10" t="inlineStr">
        <is>
          <t>Records drill</t>
        </is>
      </c>
      <c r="C23" s="10" t="inlineStr">
        <is>
          <t>Declaration rate</t>
        </is>
      </c>
      <c r="D23" s="10" t="inlineStr">
        <is>
          <t>Table column</t>
        </is>
      </c>
      <c r="E23" s="10" t="inlineStr">
        <is>
          <t>Share of content formally declared</t>
        </is>
      </c>
      <c r="F23" s="10" t="inlineStr">
        <is>
          <t>EDRMS database</t>
        </is>
      </c>
      <c r="G23" s="10" t="inlineStr">
        <is>
          <t>No single file. Computed from the tables above</t>
        </is>
      </c>
      <c r="H23" s="10" t="inlineStr">
        <is>
          <t>Produced by the refresh job from the sources above rather than read from one export. Verify it by checking the inputs named in the next two columns</t>
        </is>
      </c>
      <c r="I23" s="10" t="inlineStr">
        <is>
          <t>Two numbers: declared records, and total documents</t>
        </is>
      </c>
      <c r="J23" s="10" t="inlineStr">
        <is>
          <t>Records Declared divided by Total Documents, times 100. The numerator comes from the Records table, the denominator from the scan. Until the scan exists this rate CANNOT be produced, because the denominator does not exist anywhere</t>
        </is>
      </c>
      <c r="K23" s="10" t="inlineStr">
        <is>
          <t>1 Utilization Report</t>
        </is>
      </c>
      <c r="L23" s="10" t="inlineStr">
        <is>
          <t>IsDeclaredRecord over all rows</t>
        </is>
      </c>
      <c r="M23" s="10" t="inlineStr">
        <is>
          <t>Yes</t>
        </is>
      </c>
      <c r="N23" s="10" t="inlineStr">
        <is>
          <t>No</t>
        </is>
      </c>
      <c r="O23" s="10" t="inlineStr">
        <is>
          <t>Medium</t>
        </is>
      </c>
      <c r="P23" s="12" t="inlineStr">
        <is>
          <t>Needs department list</t>
        </is>
      </c>
      <c r="Q23" s="10" t="inlineStr">
        <is>
          <t>None, but be explicit with the client that every rate waits on the scan</t>
        </is>
      </c>
      <c r="R23" s="10" t="inlineStr"/>
      <c r="S23" s="10" t="inlineStr"/>
      <c r="T23" s="10" t="inlineStr"/>
    </row>
    <row r="24">
      <c r="A24" s="9" t="n">
        <v>20</v>
      </c>
      <c r="B24" s="10" t="inlineStr">
        <is>
          <t>Records drill</t>
        </is>
      </c>
      <c r="C24" s="10" t="inlineStr">
        <is>
          <t>By division</t>
        </is>
      </c>
      <c r="D24" s="10" t="inlineStr">
        <is>
          <t>Drill tier</t>
        </is>
      </c>
      <c r="E24" s="10" t="inlineStr">
        <is>
          <t>The same figures one level below department</t>
        </is>
      </c>
      <c r="F24" s="10" t="inlineStr">
        <is>
          <t>No source</t>
        </is>
      </c>
      <c r="G24" s="10" t="inlineStr">
        <is>
          <t>No file exists</t>
        </is>
      </c>
      <c r="H24" s="10" t="inlineStr">
        <is>
          <t>There is nothing to open. No system this report can reach holds this figure. See the question column for who to ask</t>
        </is>
      </c>
      <c r="I24" s="10" t="inlineStr">
        <is>
          <t>No division column exists anywhere</t>
        </is>
      </c>
      <c r="J24" s="10" t="inlineStr">
        <is>
          <t>Cannot be worked out. The RAC list would have to carry a division alongside department</t>
        </is>
      </c>
      <c r="K24" s="10" t="inlineStr">
        <is>
          <t>1 Utilization Report</t>
        </is>
      </c>
      <c r="L24" s="10" t="inlineStr">
        <is>
          <t>No division column exists</t>
        </is>
      </c>
      <c r="M24" s="10" t="inlineStr">
        <is>
          <t>No</t>
        </is>
      </c>
      <c r="N24" s="10" t="inlineStr">
        <is>
          <t>No</t>
        </is>
      </c>
      <c r="O24" s="10" t="inlineStr">
        <is>
          <t>Easy once supplied</t>
        </is>
      </c>
      <c r="P24" s="13" t="inlineStr">
        <is>
          <t>Needs new data source</t>
        </is>
      </c>
      <c r="Q24" s="10" t="inlineStr">
        <is>
          <t>Ask who supplies division alongside department. Why: the tier was reinstated at the client's request but nothing in the tenant populates it, so the RAC list has to carry a division column too</t>
        </is>
      </c>
      <c r="R24" s="10" t="inlineStr"/>
      <c r="S24" s="10" t="inlineStr"/>
      <c r="T24" s="10" t="inlineStr"/>
    </row>
    <row r="25">
      <c r="A25" s="9" t="n">
        <v>21</v>
      </c>
      <c r="B25" s="10" t="inlineStr">
        <is>
          <t>Counterparts drill</t>
        </is>
      </c>
      <c r="C25" s="10" t="inlineStr">
        <is>
          <t>Physical counterparts by department</t>
        </is>
      </c>
      <c r="D25" s="10" t="inlineStr">
        <is>
          <t>Table column</t>
        </is>
      </c>
      <c r="E25" s="10" t="inlineStr">
        <is>
          <t>Records with a paper copy</t>
        </is>
      </c>
      <c r="F25" s="10" t="inlineStr">
        <is>
          <t>EDRMS database</t>
        </is>
      </c>
      <c r="G25" s="10" t="inlineStr">
        <is>
          <t>The EDRMS database, drm-npr, table public."Records"</t>
        </is>
      </c>
      <c r="H25"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25" s="10" t="inlineStr">
        <is>
          <t>EDRMSMeta key HasPhysical, plus SiteUrl</t>
        </is>
      </c>
      <c r="J25" s="10" t="inlineStr">
        <is>
          <t>Count rows where the HasPhysical key is true, grouped by the department that owns the site</t>
        </is>
      </c>
      <c r="K25" s="10" t="inlineStr">
        <is>
          <t>1 Utilization Report</t>
        </is>
      </c>
      <c r="L25" s="10" t="inlineStr">
        <is>
          <t>HasPhysical, ADBDepartmentOwner</t>
        </is>
      </c>
      <c r="M25" s="10" t="inlineStr">
        <is>
          <t>Yes</t>
        </is>
      </c>
      <c r="N25" s="10" t="inlineStr">
        <is>
          <t>Partly</t>
        </is>
      </c>
      <c r="O25" s="10" t="inlineStr">
        <is>
          <t>Easy</t>
        </is>
      </c>
      <c r="P25" s="12" t="inlineStr">
        <is>
          <t>Needs department list</t>
        </is>
      </c>
      <c r="Q25" s="10" t="inlineStr">
        <is>
          <t>Ask RAC for the site to department list, roughly 1,057 rows, one department per site URL. Check AvePoint Cloud Governance first, it may already hold it from the site request. Why: this single list unlocks every departmental figure in the report</t>
        </is>
      </c>
      <c r="R25" s="10" t="inlineStr"/>
      <c r="S25" s="10" t="inlineStr"/>
      <c r="T25" s="10" t="inlineStr"/>
    </row>
    <row r="26">
      <c r="A26" s="9" t="n">
        <v>22</v>
      </c>
      <c r="B26" s="10" t="inlineStr">
        <is>
          <t>Counterparts drill</t>
        </is>
      </c>
      <c r="C26" s="10" t="inlineStr">
        <is>
          <t>Turned over to RAC, Completion rate</t>
        </is>
      </c>
      <c r="D26" s="10" t="inlineStr">
        <is>
          <t>Table column</t>
        </is>
      </c>
      <c r="E26" s="10" t="inlineStr">
        <is>
          <t>Counterparts physically transferred</t>
        </is>
      </c>
      <c r="F26" s="10" t="inlineStr">
        <is>
          <t>No source</t>
        </is>
      </c>
      <c r="G26" s="10" t="inlineStr">
        <is>
          <t>No file exists</t>
        </is>
      </c>
      <c r="H26" s="10" t="inlineStr">
        <is>
          <t>There is nothing to open. No system this report can reach holds this figure. See the question column for who to ask</t>
        </is>
      </c>
      <c r="I26" s="10" t="inlineStr">
        <is>
          <t>No column exists in any system</t>
        </is>
      </c>
      <c r="J26" s="10" t="inlineStr">
        <is>
          <t>Cannot be worked out. Would be transferred divided by flagged as having a counterpart</t>
        </is>
      </c>
      <c r="K26" s="10" t="inlineStr">
        <is>
          <t>None</t>
        </is>
      </c>
      <c r="L26" s="10" t="inlineStr">
        <is>
          <t>No column exists</t>
        </is>
      </c>
      <c r="M26" s="10" t="inlineStr">
        <is>
          <t>No</t>
        </is>
      </c>
      <c r="N26" s="10" t="inlineStr">
        <is>
          <t>No</t>
        </is>
      </c>
      <c r="O26" s="10" t="inlineStr">
        <is>
          <t>Blocked</t>
        </is>
      </c>
      <c r="P26" s="13" t="inlineStr">
        <is>
          <t>Needs new data source</t>
        </is>
      </c>
      <c r="Q26"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R26" s="10" t="inlineStr"/>
      <c r="S26" s="10" t="inlineStr"/>
      <c r="T26" s="10" t="inlineStr"/>
    </row>
    <row r="27">
      <c r="A27" s="9" t="n">
        <v>23</v>
      </c>
      <c r="B27" s="10" t="inlineStr">
        <is>
          <t>Disposal drill</t>
        </is>
      </c>
      <c r="C27" s="10" t="inlineStr">
        <is>
          <t>Records due, Next due date</t>
        </is>
      </c>
      <c r="D27" s="10" t="inlineStr">
        <is>
          <t>Table column</t>
        </is>
      </c>
      <c r="E27" s="10" t="inlineStr">
        <is>
          <t>What falls due and when</t>
        </is>
      </c>
      <c r="F27" s="10" t="inlineStr">
        <is>
          <t>EDRMS database</t>
        </is>
      </c>
      <c r="G27" s="10" t="inlineStr">
        <is>
          <t>The EDRMS database, drm-npr, table public."Records"</t>
        </is>
      </c>
      <c r="H27"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27" s="10" t="inlineStr">
        <is>
          <t>'EDRMSDueDateForDisposal'</t>
        </is>
      </c>
      <c r="J27" s="10" t="inlineStr">
        <is>
          <t>COUNT(*) for the number due, and MIN("EDRMSDueDateForDisposal") for the next date, grouped by department. Exclude anything whose duration is Permanent, which never falls due</t>
        </is>
      </c>
      <c r="K27" s="10" t="inlineStr">
        <is>
          <t>1 Utilization Report</t>
        </is>
      </c>
      <c r="L27" s="10" t="inlineStr">
        <is>
          <t>EDRMSDueDateForDisposal</t>
        </is>
      </c>
      <c r="M27" s="10" t="inlineStr">
        <is>
          <t>Yes</t>
        </is>
      </c>
      <c r="N27" s="10" t="inlineStr">
        <is>
          <t>Yes</t>
        </is>
      </c>
      <c r="O27" s="10" t="inlineStr">
        <is>
          <t>Easy</t>
        </is>
      </c>
      <c r="P27" s="12" t="inlineStr">
        <is>
          <t>Needs department list</t>
        </is>
      </c>
      <c r="Q27" s="10" t="inlineStr">
        <is>
          <t>Ask RAC for the site to department list, roughly 1,057 rows, one department per site URL. Check AvePoint Cloud Governance first, it may already hold it from the site request. Why: this single list unlocks every departmental figure in the report</t>
        </is>
      </c>
      <c r="R27" s="10" t="inlineStr"/>
      <c r="S27" s="10" t="inlineStr"/>
      <c r="T27" s="10" t="inlineStr"/>
    </row>
    <row r="28">
      <c r="A28" s="9" t="n">
        <v>24</v>
      </c>
      <c r="B28" s="10" t="inlineStr">
        <is>
          <t>Disposal drill</t>
        </is>
      </c>
      <c r="C28" s="10" t="inlineStr">
        <is>
          <t>Approver, Status, Records disposed</t>
        </is>
      </c>
      <c r="D28" s="10" t="inlineStr">
        <is>
          <t>Table column</t>
        </is>
      </c>
      <c r="E28" s="10" t="inlineStr">
        <is>
          <t>Who approved and what happened</t>
        </is>
      </c>
      <c r="F28" s="10" t="inlineStr">
        <is>
          <t>No source</t>
        </is>
      </c>
      <c r="G28" s="10" t="inlineStr">
        <is>
          <t>No file exists</t>
        </is>
      </c>
      <c r="H28" s="10" t="inlineStr">
        <is>
          <t>There is nothing to open. No system this report can reach holds this figure. See the question column for who to ask</t>
        </is>
      </c>
      <c r="I28" s="10" t="inlineStr">
        <is>
          <t>No column exists in the application or the database</t>
        </is>
      </c>
      <c r="J28" s="10" t="inlineStr">
        <is>
          <t>Cannot be worked out. Nothing anywhere records that a disposal was carried out</t>
        </is>
      </c>
      <c r="K28" s="10" t="inlineStr">
        <is>
          <t>1 Utilization Report</t>
        </is>
      </c>
      <c r="L28" s="10" t="inlineStr">
        <is>
          <t>DisposalStatus was removed from the design</t>
        </is>
      </c>
      <c r="M28" s="10" t="inlineStr">
        <is>
          <t>No, deliberately</t>
        </is>
      </c>
      <c r="N28" s="10" t="inlineStr">
        <is>
          <t>No</t>
        </is>
      </c>
      <c r="O28" s="10" t="inlineStr">
        <is>
          <t>Blocked</t>
        </is>
      </c>
      <c r="P28" s="16" t="inlineStr">
        <is>
          <t>Needs application change</t>
        </is>
      </c>
      <c r="Q28" s="10" t="inlineStr">
        <is>
          <t>Raise a change request for a disposal status field: status, approver, and date disposed. Why: nothing records that a disposal happened, so every completion figure is unanswerable</t>
        </is>
      </c>
      <c r="R28" s="10" t="inlineStr"/>
      <c r="S28" s="10" t="inlineStr"/>
      <c r="T28" s="10" t="inlineStr"/>
    </row>
    <row r="29">
      <c r="A29" s="9" t="n">
        <v>25</v>
      </c>
      <c r="B29" s="10" t="inlineStr">
        <is>
          <t>Overview of sites</t>
        </is>
      </c>
      <c r="C29" s="10" t="inlineStr">
        <is>
          <t>Department table and treemap</t>
        </is>
      </c>
      <c r="D29" s="10" t="inlineStr">
        <is>
          <t>Table and chart</t>
        </is>
      </c>
      <c r="E29" s="10" t="inlineStr">
        <is>
          <t>Sites, documents, records and counterparts per department</t>
        </is>
      </c>
      <c r="F29" s="10" t="inlineStr">
        <is>
          <t>EDRMS database</t>
        </is>
      </c>
      <c r="G29" s="10" t="inlineStr">
        <is>
          <t>No single file. Computed from the tables above</t>
        </is>
      </c>
      <c r="H29" s="10" t="inlineStr">
        <is>
          <t>Produced by the refresh job from the sources above rather than read from one export. Verify it by checking the inputs named in the next two columns</t>
        </is>
      </c>
      <c r="I29" s="10" t="inlineStr">
        <is>
          <t>Combines the site usage export, the Records table and the RAC department list</t>
        </is>
      </c>
      <c r="J29" s="10" t="inlineStr">
        <is>
          <t>For each department: count its sites from the usage export, sum 'File Count' for documents, count Records rows for declared, count HasPhysical for counterparts. Join everything on the site, and the department onto the site from the RAC list</t>
        </is>
      </c>
      <c r="K29" s="10" t="inlineStr">
        <is>
          <t>1 Utilization Report and 2 Site Activity</t>
        </is>
      </c>
      <c r="L29" s="10" t="inlineStr">
        <is>
          <t>ADBDepartmentOwner and the measures above</t>
        </is>
      </c>
      <c r="M29" s="10" t="inlineStr">
        <is>
          <t>Yes</t>
        </is>
      </c>
      <c r="N29" s="10" t="inlineStr">
        <is>
          <t>Partly</t>
        </is>
      </c>
      <c r="O29" s="10" t="inlineStr">
        <is>
          <t>Medium</t>
        </is>
      </c>
      <c r="P29" s="12" t="inlineStr">
        <is>
          <t>Needs department list</t>
        </is>
      </c>
      <c r="Q29" s="10" t="inlineStr">
        <is>
          <t>Ask RAC for the site to department list, roughly 1,057 rows, one department per site URL. Check AvePoint Cloud Governance first, it may already hold it from the site request. Why: this single list unlocks every departmental figure in the report</t>
        </is>
      </c>
      <c r="R29" s="10" t="inlineStr"/>
      <c r="S29" s="10" t="inlineStr"/>
      <c r="T29" s="10" t="inlineStr"/>
    </row>
    <row r="30">
      <c r="A30" s="9" t="n">
        <v>26</v>
      </c>
      <c r="B30" s="10" t="inlineStr">
        <is>
          <t>Overview of sites</t>
        </is>
      </c>
      <c r="C30" s="10" t="inlineStr">
        <is>
          <t>Sites created, last 90 days</t>
        </is>
      </c>
      <c r="D30" s="10" t="inlineStr">
        <is>
          <t>Tile</t>
        </is>
      </c>
      <c r="E30" s="10" t="inlineStr">
        <is>
          <t>New compliant sites</t>
        </is>
      </c>
      <c r="F30" s="10" t="inlineStr">
        <is>
          <t>Microsoft Graph</t>
        </is>
      </c>
      <c r="G30" s="10" t="inlineStr">
        <is>
          <t>Microsoft Graph, run interactively</t>
        </is>
      </c>
      <c r="H30" s="10" t="inlineStr">
        <is>
          <t>1. Go to https://aka.ms/ge, the Graph Explorer
2. Sign in with a tenant account and consent to the scope named in the next column
3. Paste the call from the Exact column heading cell into the address bar and click Run query
4. Read the field named in that same cell out of the JSON response</t>
        </is>
      </c>
      <c r="I30" s="10" t="inlineStr">
        <is>
          <t>GET /sites?search=*&amp;$select=id,displayName,webUrl,createdDateTime&amp;$top=999, then the createdDateTime field</t>
        </is>
      </c>
      <c r="J30" s="10" t="inlineStr">
        <is>
          <t>Count the sites whose createdDateTime falls in the last 90 days. Graph returns this on every site, confirmed against the tenant</t>
        </is>
      </c>
      <c r="K30" s="10" t="inlineStr">
        <is>
          <t>2 Site Activity</t>
        </is>
      </c>
      <c r="L30" s="10" t="inlineStr">
        <is>
          <t>SiteCreatedDate</t>
        </is>
      </c>
      <c r="M30" s="10" t="inlineStr">
        <is>
          <t>Yes</t>
        </is>
      </c>
      <c r="N30" s="10" t="inlineStr">
        <is>
          <t>Yes</t>
        </is>
      </c>
      <c r="O30" s="10" t="inlineStr">
        <is>
          <t>Easy</t>
        </is>
      </c>
      <c r="P30" s="11" t="inlineStr">
        <is>
          <t>Buildable now</t>
        </is>
      </c>
      <c r="Q30" s="10" t="inlineStr"/>
      <c r="R30" s="10" t="inlineStr"/>
      <c r="S30" s="10" t="inlineStr"/>
      <c r="T30" s="10" t="inlineStr"/>
    </row>
    <row r="31">
      <c r="A31" s="9" t="n">
        <v>27</v>
      </c>
      <c r="B31" s="10" t="inlineStr">
        <is>
          <t>Overview of sites</t>
        </is>
      </c>
      <c r="C31" s="10" t="inlineStr">
        <is>
          <t>Inactive over 90 days</t>
        </is>
      </c>
      <c r="D31" s="10" t="inlineStr">
        <is>
          <t>Tile</t>
        </is>
      </c>
      <c r="E31" s="10" t="inlineStr">
        <is>
          <t>Sites with no recent activity</t>
        </is>
      </c>
      <c r="F31" s="10" t="inlineStr">
        <is>
          <t>M365 usage report</t>
        </is>
      </c>
      <c r="G31" s="10" t="inlineStr">
        <is>
          <t>SharePoint site usage report, exported as CSV</t>
        </is>
      </c>
      <c r="H31"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31" s="10" t="inlineStr">
        <is>
          <t>'Last Activity Date' and 'Is Deleted'</t>
        </is>
      </c>
      <c r="J31" s="10" t="inlineStr">
        <is>
          <t>Filter out 'Is Deleted' True, then count rows where 'Last Activity Date' is older than 90 days before 'Report Refresh Date'. Only 381 of 1,918 live sites carry a date at all</t>
        </is>
      </c>
      <c r="K31" s="10" t="inlineStr">
        <is>
          <t>2 Site Activity</t>
        </is>
      </c>
      <c r="L31" s="10" t="inlineStr">
        <is>
          <t>LastActivityDate</t>
        </is>
      </c>
      <c r="M31" s="10" t="inlineStr">
        <is>
          <t>Yes</t>
        </is>
      </c>
      <c r="N31" s="10" t="inlineStr">
        <is>
          <t>Yes</t>
        </is>
      </c>
      <c r="O31" s="10" t="inlineStr">
        <is>
          <t>Easy</t>
        </is>
      </c>
      <c r="P31" s="11" t="inlineStr">
        <is>
          <t>Buildable now</t>
        </is>
      </c>
      <c r="Q31" s="10" t="inlineStr">
        <is>
          <t>Ask whether an inactive site is 90 days or 300. The deck says 90, the metrics document says 300. Why: it changes every inactivity figure, and it is a one line change either way</t>
        </is>
      </c>
      <c r="R31" s="10" t="inlineStr"/>
      <c r="S31" s="10" t="inlineStr"/>
      <c r="T31" s="10" t="inlineStr"/>
    </row>
    <row r="32">
      <c r="A32" s="9" t="n">
        <v>28</v>
      </c>
      <c r="B32" s="10" t="inlineStr">
        <is>
          <t>Overview of sites</t>
        </is>
      </c>
      <c r="C32" s="10" t="inlineStr">
        <is>
          <t>Sites deleted</t>
        </is>
      </c>
      <c r="D32" s="10" t="inlineStr">
        <is>
          <t>Tile</t>
        </is>
      </c>
      <c r="E32" s="10" t="inlineStr">
        <is>
          <t>Sites removed since the last snapshot</t>
        </is>
      </c>
      <c r="F32" s="10" t="inlineStr">
        <is>
          <t>M365 usage report</t>
        </is>
      </c>
      <c r="G32" s="10" t="inlineStr">
        <is>
          <t>SharePoint site usage report, exported as CSV</t>
        </is>
      </c>
      <c r="H32"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32" s="10" t="inlineStr">
        <is>
          <t>'Is Deleted'</t>
        </is>
      </c>
      <c r="J32" s="10" t="inlineStr">
        <is>
          <t>Count rows where 'Is Deleted' is True. To count deletions in a period instead, compare two weekly exports and count the Site Ids present in the older one and absent from the newer</t>
        </is>
      </c>
      <c r="K32" s="10" t="inlineStr">
        <is>
          <t>2 Site Activity</t>
        </is>
      </c>
      <c r="L32" s="10" t="inlineStr">
        <is>
          <t>IsDeleted</t>
        </is>
      </c>
      <c r="M32" s="10" t="inlineStr">
        <is>
          <t>Yes, unpopulated</t>
        </is>
      </c>
      <c r="N32" s="10" t="inlineStr">
        <is>
          <t>Partly</t>
        </is>
      </c>
      <c r="O32" s="10" t="inlineStr">
        <is>
          <t>Medium</t>
        </is>
      </c>
      <c r="P32" s="15" t="inlineStr">
        <is>
          <t>Needs new column or join</t>
        </is>
      </c>
      <c r="Q32" s="10" t="inlineStr">
        <is>
          <t>Confirm that a deleted site should be counted from its disappearance between two exports. Why: absence cannot distinguish a deletion from a permissions change that hides the site</t>
        </is>
      </c>
      <c r="R32" s="10" t="inlineStr"/>
      <c r="S32" s="10" t="inlineStr"/>
      <c r="T32" s="10" t="inlineStr"/>
    </row>
    <row r="33">
      <c r="A33" s="9" t="n">
        <v>29</v>
      </c>
      <c r="B33" s="10" t="inlineStr">
        <is>
          <t>Overview of sites</t>
        </is>
      </c>
      <c r="C33" s="10" t="inlineStr">
        <is>
          <t>Sites archived</t>
        </is>
      </c>
      <c r="D33" s="10" t="inlineStr">
        <is>
          <t>Tile</t>
        </is>
      </c>
      <c r="E33" s="10" t="inlineStr">
        <is>
          <t>Sites moved to an archived state</t>
        </is>
      </c>
      <c r="F33" s="10" t="inlineStr">
        <is>
          <t>No source</t>
        </is>
      </c>
      <c r="G33" s="10" t="inlineStr">
        <is>
          <t>No file exists</t>
        </is>
      </c>
      <c r="H33" s="10" t="inlineStr">
        <is>
          <t>There is nothing to open. No system this report can reach holds this figure. See the question column for who to ask</t>
        </is>
      </c>
      <c r="I33" s="10" t="inlineStr">
        <is>
          <t>No column in any export marks a site as archived</t>
        </is>
      </c>
      <c r="J33" s="10" t="inlineStr">
        <is>
          <t>Cannot be worked out. No rule exists to compute it</t>
        </is>
      </c>
      <c r="K33" s="10" t="inlineStr">
        <is>
          <t>2 Site Activity</t>
        </is>
      </c>
      <c r="L33" s="10" t="inlineStr">
        <is>
          <t>No column exists</t>
        </is>
      </c>
      <c r="M33" s="10" t="inlineStr">
        <is>
          <t>No</t>
        </is>
      </c>
      <c r="N33" s="10" t="inlineStr">
        <is>
          <t>No</t>
        </is>
      </c>
      <c r="O33" s="10" t="inlineStr">
        <is>
          <t>Blocked</t>
        </is>
      </c>
      <c r="P33" s="17" t="inlineStr">
        <is>
          <t>Decision needed</t>
        </is>
      </c>
      <c r="Q33" s="10" t="inlineStr">
        <is>
          <t>Ask what archived means for a site, and how it is marked. Why: there is no definition anywhere, so the figure cannot be counted</t>
        </is>
      </c>
      <c r="R33" s="10" t="inlineStr"/>
      <c r="S33" s="10" t="inlineStr"/>
      <c r="T33" s="10" t="inlineStr"/>
    </row>
    <row r="34">
      <c r="A34" s="9" t="n">
        <v>30</v>
      </c>
      <c r="B34" s="10" t="inlineStr">
        <is>
          <t>Comparison</t>
        </is>
      </c>
      <c r="C34" s="10" t="inlineStr">
        <is>
          <t>Users against documents, users against records, documents against records</t>
        </is>
      </c>
      <c r="D34" s="10" t="inlineStr">
        <is>
          <t>Chart</t>
        </is>
      </c>
      <c r="E34" s="10" t="inlineStr">
        <is>
          <t>Three ratios per department</t>
        </is>
      </c>
      <c r="F34" s="10" t="inlineStr">
        <is>
          <t>EDRMS database</t>
        </is>
      </c>
      <c r="G34" s="10" t="inlineStr">
        <is>
          <t>No single file. Computed from the tables above</t>
        </is>
      </c>
      <c r="H34" s="10" t="inlineStr">
        <is>
          <t>Produced by the refresh job from the sources above rather than read from one export. Verify it by checking the inputs named in the next two columns</t>
        </is>
      </c>
      <c r="I34" s="10" t="inlineStr">
        <is>
          <t>Combines 'Viewed Or Edited File Count' from the user export, 'File Count' from the site export, and the Records row count</t>
        </is>
      </c>
      <c r="J34" s="10" t="inlineStr">
        <is>
          <t>Each pair is drawn side by side per department. The third pair, documents against records, is the declaration rate expressed as two bars rather than a percentage</t>
        </is>
      </c>
      <c r="K34" s="10" t="inlineStr">
        <is>
          <t>1 Utilization Report, 3 User Activity</t>
        </is>
      </c>
      <c r="L34" s="10" t="inlineStr">
        <is>
          <t>UserPrincipalName, IsDeclaredRecord</t>
        </is>
      </c>
      <c r="M34" s="10" t="inlineStr">
        <is>
          <t>Yes</t>
        </is>
      </c>
      <c r="N34" s="10" t="inlineStr">
        <is>
          <t>Partly</t>
        </is>
      </c>
      <c r="O34" s="10" t="inlineStr">
        <is>
          <t>Easy</t>
        </is>
      </c>
      <c r="P34" s="12" t="inlineStr">
        <is>
          <t>Needs department list</t>
        </is>
      </c>
      <c r="Q34" s="10" t="inlineStr">
        <is>
          <t>Ask RAC for the site to department list, roughly 1,057 rows, one department per site URL. Check AvePoint Cloud Governance first, it may already hold it from the site request. Why: this single list unlocks every departmental figure in the report</t>
        </is>
      </c>
      <c r="R34" s="10" t="inlineStr"/>
      <c r="S34" s="10" t="inlineStr"/>
      <c r="T34" s="10" t="inlineStr"/>
    </row>
    <row r="35">
      <c r="A35" s="9" t="n">
        <v>31</v>
      </c>
      <c r="B35" s="10" t="inlineStr">
        <is>
          <t>Declaration trend</t>
        </is>
      </c>
      <c r="C35" s="10" t="inlineStr">
        <is>
          <t>Records declared by month</t>
        </is>
      </c>
      <c r="D35" s="10" t="inlineStr">
        <is>
          <t>Chart</t>
        </is>
      </c>
      <c r="E35" s="10" t="inlineStr">
        <is>
          <t>Declarations in each of 12 months</t>
        </is>
      </c>
      <c r="F35" s="10" t="inlineStr">
        <is>
          <t>EDRMS database</t>
        </is>
      </c>
      <c r="G35" s="10" t="inlineStr">
        <is>
          <t>The EDRMS database, drm-npr, table public."Records"</t>
        </is>
      </c>
      <c r="H35"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35" s="10" t="inlineStr">
        <is>
          <t>'CreatedDate'</t>
        </is>
      </c>
      <c r="J35" s="10" t="inlineStr">
        <is>
          <t>SELECT date_trunc('month', "CreatedDate"), COUNT(*) FROM public."Records" GROUP BY 1 ORDER BY 1, then take the last 12 closed months. Use CreatedDate, which is when the record was declared, NOT EDRMSRetentionLabelApplied, which can be set on an undeclared document</t>
        </is>
      </c>
      <c r="K35" s="10" t="inlineStr">
        <is>
          <t>1 Utilization Report</t>
        </is>
      </c>
      <c r="L35" s="10" t="inlineStr">
        <is>
          <t>CreatedDate</t>
        </is>
      </c>
      <c r="M35" s="10" t="inlineStr">
        <is>
          <t>Yes</t>
        </is>
      </c>
      <c r="N35" s="10" t="inlineStr">
        <is>
          <t>Yes</t>
        </is>
      </c>
      <c r="O35" s="10" t="inlineStr">
        <is>
          <t>Easy</t>
        </is>
      </c>
      <c r="P35" s="11" t="inlineStr">
        <is>
          <t>Buildable now</t>
        </is>
      </c>
      <c r="Q35" s="10" t="inlineStr"/>
      <c r="R35" s="10" t="inlineStr"/>
      <c r="S35" s="10" t="inlineStr"/>
      <c r="T35" s="10" t="inlineStr"/>
    </row>
    <row r="36">
      <c r="A36" s="9" t="n">
        <v>32</v>
      </c>
      <c r="B36" s="10" t="inlineStr">
        <is>
          <t>Declaration trend</t>
        </is>
      </c>
      <c r="C36" s="10" t="inlineStr">
        <is>
          <t>Records declared this month, Monthly average</t>
        </is>
      </c>
      <c r="D36" s="10" t="inlineStr">
        <is>
          <t>Tile</t>
        </is>
      </c>
      <c r="E36" s="10" t="inlineStr">
        <is>
          <t>Current month against its average</t>
        </is>
      </c>
      <c r="F36" s="10" t="inlineStr">
        <is>
          <t>EDRMS database</t>
        </is>
      </c>
      <c r="G36" s="10" t="inlineStr">
        <is>
          <t>The EDRMS database, drm-npr, table public."Records"</t>
        </is>
      </c>
      <c r="H36"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36" s="10" t="inlineStr">
        <is>
          <t>'CreatedDate'</t>
        </is>
      </c>
      <c r="J36" s="10" t="inlineStr">
        <is>
          <t>This month is the last bar of the same query. The average is the 12 month total divided by 12</t>
        </is>
      </c>
      <c r="K36" s="10" t="inlineStr">
        <is>
          <t>1 Utilization Report</t>
        </is>
      </c>
      <c r="L36" s="10" t="inlineStr">
        <is>
          <t>CreatedDate</t>
        </is>
      </c>
      <c r="M36" s="10" t="inlineStr">
        <is>
          <t>Yes</t>
        </is>
      </c>
      <c r="N36" s="10" t="inlineStr">
        <is>
          <t>Yes</t>
        </is>
      </c>
      <c r="O36" s="10" t="inlineStr">
        <is>
          <t>Easy</t>
        </is>
      </c>
      <c r="P36" s="11" t="inlineStr">
        <is>
          <t>Buildable now</t>
        </is>
      </c>
      <c r="Q36" s="10" t="inlineStr"/>
      <c r="R36" s="10" t="inlineStr"/>
      <c r="S36" s="10" t="inlineStr"/>
      <c r="T36" s="10" t="inlineStr"/>
    </row>
    <row r="37">
      <c r="A37" s="9" t="n">
        <v>33</v>
      </c>
      <c r="B37" s="10" t="inlineStr">
        <is>
          <t>Declaration trend</t>
        </is>
      </c>
      <c r="C37" s="10" t="inlineStr">
        <is>
          <t>Records declared by year</t>
        </is>
      </c>
      <c r="D37" s="10" t="inlineStr">
        <is>
          <t>Chart</t>
        </is>
      </c>
      <c r="E37" s="10" t="inlineStr">
        <is>
          <t>Declarations per year</t>
        </is>
      </c>
      <c r="F37" s="10" t="inlineStr">
        <is>
          <t>EDRMS database</t>
        </is>
      </c>
      <c r="G37" s="10" t="inlineStr">
        <is>
          <t>The EDRMS database, drm-npr, table public."Records"</t>
        </is>
      </c>
      <c r="H37"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37" s="10" t="inlineStr">
        <is>
          <t>'CreatedDate'</t>
        </is>
      </c>
      <c r="J37" s="10" t="inlineStr">
        <is>
          <t>The same query grouped by year instead of month. The final bar is the last 12 months, so it must equal the total of the monthly chart above it</t>
        </is>
      </c>
      <c r="K37" s="10" t="inlineStr">
        <is>
          <t>1 Utilization Report</t>
        </is>
      </c>
      <c r="L37" s="10" t="inlineStr">
        <is>
          <t>CreatedDate</t>
        </is>
      </c>
      <c r="M37" s="10" t="inlineStr">
        <is>
          <t>Yes</t>
        </is>
      </c>
      <c r="N37" s="10" t="inlineStr">
        <is>
          <t>Yes</t>
        </is>
      </c>
      <c r="O37" s="10" t="inlineStr">
        <is>
          <t>Easy</t>
        </is>
      </c>
      <c r="P37" s="11" t="inlineStr">
        <is>
          <t>Buildable now</t>
        </is>
      </c>
      <c r="Q37" s="10" t="inlineStr"/>
      <c r="R37" s="10" t="inlineStr"/>
      <c r="S37" s="10" t="inlineStr"/>
      <c r="T37" s="10" t="inlineStr"/>
    </row>
    <row r="38">
      <c r="A38" s="9" t="n">
        <v>34</v>
      </c>
      <c r="B38" s="10" t="inlineStr">
        <is>
          <t>Declaration trend</t>
        </is>
      </c>
      <c r="C38" s="10" t="inlineStr">
        <is>
          <t>Department filter</t>
        </is>
      </c>
      <c r="D38" s="10" t="inlineStr">
        <is>
          <t>Filter</t>
        </is>
      </c>
      <c r="E38" s="10" t="inlineStr">
        <is>
          <t>The same trend for one department</t>
        </is>
      </c>
      <c r="F38" s="10" t="inlineStr">
        <is>
          <t>No source</t>
        </is>
      </c>
      <c r="G38" s="10" t="inlineStr">
        <is>
          <t>No file exists</t>
        </is>
      </c>
      <c r="H38" s="10" t="inlineStr">
        <is>
          <t>There is nothing to open. No system this report can reach holds this figure. See the question column for who to ask</t>
        </is>
      </c>
      <c r="I38" s="10" t="inlineStr">
        <is>
          <t>No department column exists in the Records table yet</t>
        </is>
      </c>
      <c r="J38" s="10" t="inlineStr">
        <is>
          <t>Add a filter on the department that owns the site in "SiteUrl", once the RAC list exists</t>
        </is>
      </c>
      <c r="K38" s="10" t="inlineStr">
        <is>
          <t>1 Utilization Report</t>
        </is>
      </c>
      <c r="L38" s="10" t="inlineStr">
        <is>
          <t>ADBDepartmentOwner</t>
        </is>
      </c>
      <c r="M38" s="10" t="inlineStr">
        <is>
          <t>Column exists, unpopulated</t>
        </is>
      </c>
      <c r="N38" s="10" t="inlineStr">
        <is>
          <t>No</t>
        </is>
      </c>
      <c r="O38" s="10" t="inlineStr">
        <is>
          <t>Easy</t>
        </is>
      </c>
      <c r="P38" s="12" t="inlineStr">
        <is>
          <t>Needs department list</t>
        </is>
      </c>
      <c r="Q38" s="10" t="inlineStr">
        <is>
          <t>Ask RAC for the site to department list, roughly 1,057 rows, one department per site URL. Check AvePoint Cloud Governance first, it may already hold it from the site request. Why: this single list unlocks every departmental figure in the report</t>
        </is>
      </c>
      <c r="R38" s="10" t="inlineStr"/>
      <c r="S38" s="10" t="inlineStr"/>
      <c r="T38" s="10" t="inlineStr"/>
    </row>
    <row r="39">
      <c r="A39" s="9" t="n">
        <v>35</v>
      </c>
      <c r="B39" s="10" t="inlineStr">
        <is>
          <t>Site activity trend</t>
        </is>
      </c>
      <c r="C39" s="10" t="inlineStr">
        <is>
          <t>Site visits by month</t>
        </is>
      </c>
      <c r="D39" s="10" t="inlineStr">
        <is>
          <t>Chart</t>
        </is>
      </c>
      <c r="E39" s="10" t="inlineStr">
        <is>
          <t>Page views across the estate</t>
        </is>
      </c>
      <c r="F39" s="10" t="inlineStr">
        <is>
          <t>M365 usage report</t>
        </is>
      </c>
      <c r="G39" s="10" t="inlineStr">
        <is>
          <t>SharePoint site usage report, exported as CSV</t>
        </is>
      </c>
      <c r="H39"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39" s="10" t="inlineStr">
        <is>
          <t>'Page View Count' and 'Report Refresh Date'</t>
        </is>
      </c>
      <c r="J39" s="10" t="inlineStr">
        <is>
          <t>Export the report weekly at the 7 day period. For each month, SUM 'Page View Count' across the weekly exports whose 'Report Refresh Date' falls in that month. CRITICAL: use the 7 DAY period only. Summing the 30, 90 or 180 day exports counts most days several times over, because those windows overlap while consecutive 7 day windows tile exactly</t>
        </is>
      </c>
      <c r="K39" s="10" t="inlineStr">
        <is>
          <t>2 Site Activity</t>
        </is>
      </c>
      <c r="L39" s="10" t="inlineStr">
        <is>
          <t>SiteVisits7, ReportRefreshDate</t>
        </is>
      </c>
      <c r="M39" s="10" t="inlineStr">
        <is>
          <t>Yes</t>
        </is>
      </c>
      <c r="N39" s="10" t="inlineStr">
        <is>
          <t>Partly</t>
        </is>
      </c>
      <c r="O39" s="10" t="inlineStr">
        <is>
          <t>Medium</t>
        </is>
      </c>
      <c r="P39" s="11" t="inlineStr">
        <is>
          <t>Buildable now</t>
        </is>
      </c>
      <c r="Q39" s="10" t="inlineStr">
        <is>
          <t>Confirm the job start date with the client. Why: the trend can only begin when weekly capture begins, and history never captured cannot be recovered</t>
        </is>
      </c>
      <c r="R39" s="10" t="inlineStr"/>
      <c r="S39" s="10" t="inlineStr"/>
      <c r="T39" s="10" t="inlineStr"/>
    </row>
    <row r="40">
      <c r="A40" s="9" t="n">
        <v>36</v>
      </c>
      <c r="B40" s="10" t="inlineStr">
        <is>
          <t>Site activity trend</t>
        </is>
      </c>
      <c r="C40" s="10" t="inlineStr">
        <is>
          <t>Department and period filters</t>
        </is>
      </c>
      <c r="D40" s="10" t="inlineStr">
        <is>
          <t>Filter</t>
        </is>
      </c>
      <c r="E40" s="10" t="inlineStr">
        <is>
          <t>The series cut two ways</t>
        </is>
      </c>
      <c r="F40" s="10" t="inlineStr">
        <is>
          <t>M365 usage report</t>
        </is>
      </c>
      <c r="G40" s="10" t="inlineStr">
        <is>
          <t>SharePoint site usage report, exported as CSV</t>
        </is>
      </c>
      <c r="H40"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40" s="10" t="inlineStr">
        <is>
          <t>'Report Refresh Date', plus the RAC department list</t>
        </is>
      </c>
      <c r="J40" s="10" t="inlineStr">
        <is>
          <t>Period: keep only the exports whose 'Report Refresh Date' falls in the last N months. Department: keep only the sites the RAC list assigns to that department</t>
        </is>
      </c>
      <c r="K40" s="10" t="inlineStr">
        <is>
          <t>2 Site Activity</t>
        </is>
      </c>
      <c r="L40" s="10" t="inlineStr">
        <is>
          <t>ADBDepartmentOwner, ReportRefreshDate</t>
        </is>
      </c>
      <c r="M40" s="10" t="inlineStr">
        <is>
          <t>Yes</t>
        </is>
      </c>
      <c r="N40" s="10" t="inlineStr">
        <is>
          <t>Partly</t>
        </is>
      </c>
      <c r="O40" s="10" t="inlineStr">
        <is>
          <t>Easy</t>
        </is>
      </c>
      <c r="P40" s="12" t="inlineStr">
        <is>
          <t>Needs department list</t>
        </is>
      </c>
      <c r="Q40" s="10" t="inlineStr">
        <is>
          <t>Ask RAC for the site to department list, roughly 1,057 rows, one department per site URL. Check AvePoint Cloud Governance first, it may already hold it from the site request. Why: this single list unlocks every departmental figure in the report</t>
        </is>
      </c>
      <c r="R40" s="10" t="inlineStr"/>
      <c r="S40" s="10" t="inlineStr"/>
      <c r="T40" s="10" t="inlineStr"/>
    </row>
    <row r="41">
      <c r="A41" s="9" t="n">
        <v>37</v>
      </c>
      <c r="B41" s="10" t="inlineStr">
        <is>
          <t>Retention rollup</t>
        </is>
      </c>
      <c r="C41" s="10" t="inlineStr">
        <is>
          <t>Permanent and temporary split</t>
        </is>
      </c>
      <c r="D41" s="10" t="inlineStr">
        <is>
          <t>Chart and table</t>
        </is>
      </c>
      <c r="E41" s="10" t="inlineStr">
        <is>
          <t>How the holding divides by retention type</t>
        </is>
      </c>
      <c r="F41" s="10" t="inlineStr">
        <is>
          <t>EDRMS database</t>
        </is>
      </c>
      <c r="G41" s="10" t="inlineStr">
        <is>
          <t>The EDRMS database, drm-npr, table public."Records"</t>
        </is>
      </c>
      <c r="H41"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41" s="10" t="inlineStr">
        <is>
          <t>'EDRMSDuration' and 'EDRMSRetentionLabel'</t>
        </is>
      </c>
      <c r="J41" s="10" t="inlineStr">
        <is>
          <t>Permanent is WHERE "EDRMSDuration" = 'Permanent'. Temporary is everything else that has a label. The two must add up to the labelled record count. The column is TEXT, so it can hold Permanent alongside 10, and must be cast before any arithmetic</t>
        </is>
      </c>
      <c r="K41" s="10" t="inlineStr">
        <is>
          <t>1 Utilization Report</t>
        </is>
      </c>
      <c r="L41" s="10" t="inlineStr">
        <is>
          <t>EDRMSDuration, EDRMSRetentionLabel</t>
        </is>
      </c>
      <c r="M41" s="10" t="inlineStr">
        <is>
          <t>Yes</t>
        </is>
      </c>
      <c r="N41" s="10" t="inlineStr">
        <is>
          <t>Yes</t>
        </is>
      </c>
      <c r="O41" s="10" t="inlineStr">
        <is>
          <t>Easy</t>
        </is>
      </c>
      <c r="P41" s="11" t="inlineStr">
        <is>
          <t>Buildable now</t>
        </is>
      </c>
      <c r="Q41" s="10" t="inlineStr"/>
      <c r="R41" s="10" t="inlineStr"/>
      <c r="S41" s="10" t="inlineStr"/>
      <c r="T41" s="10" t="inlineStr"/>
    </row>
    <row r="42">
      <c r="A42" s="9" t="n">
        <v>38</v>
      </c>
      <c r="B42" s="10" t="inlineStr">
        <is>
          <t>Retention rollup</t>
        </is>
      </c>
      <c r="C42" s="10" t="inlineStr">
        <is>
          <t>Departments and libraries provisioned per term</t>
        </is>
      </c>
      <c r="D42" s="10" t="inlineStr">
        <is>
          <t>Table column</t>
        </is>
      </c>
      <c r="E42" s="10" t="inlineStr">
        <is>
          <t>Reach of each retention term</t>
        </is>
      </c>
      <c r="F42" s="10" t="inlineStr">
        <is>
          <t>No source</t>
        </is>
      </c>
      <c r="G42" s="10" t="inlineStr">
        <is>
          <t>No file exists</t>
        </is>
      </c>
      <c r="H42" s="10" t="inlineStr">
        <is>
          <t>There is nothing to open. No system this report can reach holds this figure. See the question column for who to ask</t>
        </is>
      </c>
      <c r="I42" s="10" t="inlineStr">
        <is>
          <t>No column links a term to a library or a document</t>
        </is>
      </c>
      <c r="J42" s="10" t="inlineStr">
        <is>
          <t>Cannot be worked out. The file plan table has no join key and the document row carries no term</t>
        </is>
      </c>
      <c r="K42" s="10" t="inlineStr">
        <is>
          <t>4 File Plan</t>
        </is>
      </c>
      <c r="L42" s="10" t="inlineStr">
        <is>
          <t>No join exists</t>
        </is>
      </c>
      <c r="M42" s="10" t="inlineStr">
        <is>
          <t>No</t>
        </is>
      </c>
      <c r="N42" s="10" t="inlineStr">
        <is>
          <t>No</t>
        </is>
      </c>
      <c r="O42" s="10" t="inlineStr">
        <is>
          <t>Blocked</t>
        </is>
      </c>
      <c r="P42" s="15" t="inlineStr">
        <is>
          <t>Needs new column or join</t>
        </is>
      </c>
      <c r="Q42" s="10" t="inlineStr">
        <is>
          <t>Ask the development team to add a term reference to the document row, or supply a term to library mapping list. Why: nothing links a term to a document, so no per term figure can be produced even once the file plan is located</t>
        </is>
      </c>
      <c r="R42" s="10" t="inlineStr"/>
      <c r="S42" s="10" t="inlineStr"/>
      <c r="T42" s="10" t="inlineStr"/>
    </row>
    <row r="43">
      <c r="A43" s="9" t="n">
        <v>39</v>
      </c>
      <c r="B43" s="10" t="inlineStr">
        <is>
          <t>Retention rollup</t>
        </is>
      </c>
      <c r="C43" s="10" t="inlineStr">
        <is>
          <t>Disposed</t>
        </is>
      </c>
      <c r="D43" s="10" t="inlineStr">
        <is>
          <t>Table column</t>
        </is>
      </c>
      <c r="E43" s="10" t="inlineStr">
        <is>
          <t>Records actually disposed of</t>
        </is>
      </c>
      <c r="F43" s="10" t="inlineStr">
        <is>
          <t>No source</t>
        </is>
      </c>
      <c r="G43" s="10" t="inlineStr">
        <is>
          <t>No file exists</t>
        </is>
      </c>
      <c r="H43" s="10" t="inlineStr">
        <is>
          <t>There is nothing to open. No system this report can reach holds this figure. See the question column for who to ask</t>
        </is>
      </c>
      <c r="I43" s="10" t="inlineStr">
        <is>
          <t>No column exists</t>
        </is>
      </c>
      <c r="J43" s="10" t="inlineStr">
        <is>
          <t>Cannot be worked out. Nothing records that a disposal happened</t>
        </is>
      </c>
      <c r="K43" s="10" t="inlineStr">
        <is>
          <t>1 Utilization Report</t>
        </is>
      </c>
      <c r="L43" s="10" t="inlineStr">
        <is>
          <t>No column exists</t>
        </is>
      </c>
      <c r="M43" s="10" t="inlineStr">
        <is>
          <t>No</t>
        </is>
      </c>
      <c r="N43" s="10" t="inlineStr">
        <is>
          <t>No</t>
        </is>
      </c>
      <c r="O43" s="10" t="inlineStr">
        <is>
          <t>Blocked</t>
        </is>
      </c>
      <c r="P43" s="16" t="inlineStr">
        <is>
          <t>Needs application change</t>
        </is>
      </c>
      <c r="Q43" s="10" t="inlineStr">
        <is>
          <t>Raise a change request for a disposal status field: status, approver, and date disposed. Why: nothing records that a disposal happened, so every completion figure is unanswerable</t>
        </is>
      </c>
      <c r="R43" s="10" t="inlineStr"/>
      <c r="S43" s="10" t="inlineStr"/>
      <c r="T43" s="10" t="inlineStr"/>
    </row>
    <row r="44">
      <c r="A44" s="9" t="n">
        <v>40</v>
      </c>
      <c r="B44" s="10" t="inlineStr">
        <is>
          <t>Format and storage</t>
        </is>
      </c>
      <c r="C44" s="10" t="inlineStr">
        <is>
          <t>Files by format group</t>
        </is>
      </c>
      <c r="D44" s="10" t="inlineStr">
        <is>
          <t>Chart and table</t>
        </is>
      </c>
      <c r="E44" s="10" t="inlineStr">
        <is>
          <t>The eight format families</t>
        </is>
      </c>
      <c r="F44" s="10" t="inlineStr">
        <is>
          <t>EDRMS database</t>
        </is>
      </c>
      <c r="G44" s="10" t="inlineStr">
        <is>
          <t>The EDRMS database, drm-npr, table public."Records"</t>
        </is>
      </c>
      <c r="H44"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44" s="10" t="inlineStr">
        <is>
          <t>The FileMeta JSON column, key FileType</t>
        </is>
      </c>
      <c r="J44" s="10" t="inlineStr">
        <is>
          <t>Take the extension from the FileType key, map it to one of the eight groups using the RAC mapping list (doc and docx both become Word), then COUNT(*) per group. The eight groups must add up to Total Records Declared exactly, which is the check that the mapping missed nothing</t>
        </is>
      </c>
      <c r="K44" s="10" t="inlineStr">
        <is>
          <t>1 Utilization Report</t>
        </is>
      </c>
      <c r="L44" s="10" t="inlineStr">
        <is>
          <t>FormatGroup, FileType</t>
        </is>
      </c>
      <c r="M44" s="10" t="inlineStr">
        <is>
          <t>Yes, mapping outstanding</t>
        </is>
      </c>
      <c r="N44" s="10" t="inlineStr">
        <is>
          <t>Partly</t>
        </is>
      </c>
      <c r="O44" s="10" t="inlineStr">
        <is>
          <t>Medium</t>
        </is>
      </c>
      <c r="P44" s="17" t="inlineStr">
        <is>
          <t>Decision needed</t>
        </is>
      </c>
      <c r="Q44" s="10" t="inlineStr">
        <is>
          <t>Ask RAC for the file extension to format group mapping, a short list. Why: without it every extension falls into All other formats</t>
        </is>
      </c>
      <c r="R44" s="10" t="inlineStr"/>
      <c r="S44" s="10" t="inlineStr"/>
      <c r="T44" s="10" t="inlineStr"/>
    </row>
    <row r="45">
      <c r="A45" s="9" t="n">
        <v>41</v>
      </c>
      <c r="B45" s="10" t="inlineStr">
        <is>
          <t>Format and storage</t>
        </is>
      </c>
      <c r="C45" s="10" t="inlineStr">
        <is>
          <t>Storage by format group, Average file size</t>
        </is>
      </c>
      <c r="D45" s="10" t="inlineStr">
        <is>
          <t>Chart and table</t>
        </is>
      </c>
      <c r="E45" s="10" t="inlineStr">
        <is>
          <t>Space each format consumes</t>
        </is>
      </c>
      <c r="F45" s="10" t="inlineStr">
        <is>
          <t>Microsoft Graph</t>
        </is>
      </c>
      <c r="G45" s="10" t="inlineStr">
        <is>
          <t>Microsoft Graph, run interactively</t>
        </is>
      </c>
      <c r="H45" s="10" t="inlineStr">
        <is>
          <t>1. Go to https://aka.ms/ge, the Graph Explorer
2. Sign in with a tenant account and consent to the scope named in the next column
3. Paste the call from the Exact column heading cell into the address bar and click Run query
4. Read the field named in that same cell out of the JSON response</t>
        </is>
      </c>
      <c r="I45" s="10" t="inlineStr">
        <is>
          <t>GET /sites/{siteId}/drive/items, then the size field on each item</t>
        </is>
      </c>
      <c r="J45" s="10" t="inlineStr">
        <is>
          <t>SUM the size field per format group for storage, and SUM(size)/COUNT(*) for the average. WARNING: a folder returns a CUMULATIVE size in Graph, so filter to files only or storage double counts</t>
        </is>
      </c>
      <c r="K45" s="10" t="inlineStr">
        <is>
          <t>1 Utilization Report</t>
        </is>
      </c>
      <c r="L45" s="10" t="inlineStr">
        <is>
          <t>FileSize</t>
        </is>
      </c>
      <c r="M45" s="10" t="inlineStr">
        <is>
          <t>Yes, new key</t>
        </is>
      </c>
      <c r="N45" s="10" t="inlineStr">
        <is>
          <t>Partly</t>
        </is>
      </c>
      <c r="O45" s="10" t="inlineStr">
        <is>
          <t>Medium</t>
        </is>
      </c>
      <c r="P45" s="11" t="inlineStr">
        <is>
          <t>Buildable now</t>
        </is>
      </c>
      <c r="Q45" s="10" t="inlineStr"/>
      <c r="R45" s="10" t="inlineStr"/>
      <c r="S45" s="10" t="inlineStr"/>
      <c r="T45" s="10" t="inlineStr"/>
    </row>
    <row r="46">
      <c r="A46" s="9" t="n">
        <v>42</v>
      </c>
      <c r="B46" s="10" t="inlineStr">
        <is>
          <t>Risk and compliance</t>
        </is>
      </c>
      <c r="C46" s="10" t="inlineStr">
        <is>
          <t>Compliant, active and inactive sites</t>
        </is>
      </c>
      <c r="D46" s="10" t="inlineStr">
        <is>
          <t>Tile and chart</t>
        </is>
      </c>
      <c r="E46" s="10" t="inlineStr">
        <is>
          <t>Site health across the estate</t>
        </is>
      </c>
      <c r="F46" s="10" t="inlineStr">
        <is>
          <t>M365 usage report</t>
        </is>
      </c>
      <c r="G46" s="10" t="inlineStr">
        <is>
          <t>SharePoint site usage report, exported as CSV</t>
        </is>
      </c>
      <c r="H46"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46" s="10" t="inlineStr">
        <is>
          <t>'Last Activity Date', 'Is Deleted'</t>
        </is>
      </c>
      <c r="J46" s="10" t="inlineStr">
        <is>
          <t>Live sites are rows where 'Is Deleted' is False, 1,918 in the test tenant. Active is those with 'Last Activity Date' inside 90 days, inactive is the rest. The compliant subset cannot be filtered yet</t>
        </is>
      </c>
      <c r="K46" s="10" t="inlineStr">
        <is>
          <t>2 Site Activity</t>
        </is>
      </c>
      <c r="L46" s="10" t="inlineStr">
        <is>
          <t>IsEdrmsCompliant, LastActivityDate</t>
        </is>
      </c>
      <c r="M46" s="10" t="inlineStr">
        <is>
          <t>Yes</t>
        </is>
      </c>
      <c r="N46" s="10" t="inlineStr">
        <is>
          <t>Partly</t>
        </is>
      </c>
      <c r="O46" s="10" t="inlineStr">
        <is>
          <t>Easy</t>
        </is>
      </c>
      <c r="P46" s="17" t="inlineStr">
        <is>
          <t>Decision needed</t>
        </is>
      </c>
      <c r="Q46" s="10" t="inlineStr">
        <is>
          <t>Ask Leah Bancale for the PRODUCTION Cloud Governance Workspace report export, and whether a converted site is recorded in Cloud Governance the same way a created one is. Why: 'EDRMS Site Type' in that export is the compliant site list, so this single file defines which sites are in the report at all. Also Ask whether an inactive site is 90 days or 300. The deck says 90, the metrics document says 300. Why: it changes every inactivity figure, and it is a one line change either way</t>
        </is>
      </c>
      <c r="R46" s="10" t="inlineStr"/>
      <c r="S46" s="10" t="inlineStr"/>
      <c r="T46" s="10" t="inlineStr"/>
    </row>
    <row r="47">
      <c r="A47" s="9" t="n">
        <v>43</v>
      </c>
      <c r="B47" s="10" t="inlineStr">
        <is>
          <t>Risk and compliance</t>
        </is>
      </c>
      <c r="C47" s="10" t="inlineStr">
        <is>
          <t>Orphaned sites, no owner</t>
        </is>
      </c>
      <c r="D47" s="10" t="inlineStr">
        <is>
          <t>Tile</t>
        </is>
      </c>
      <c r="E47" s="10" t="inlineStr">
        <is>
          <t>Sites with no administrator</t>
        </is>
      </c>
      <c r="F47" s="10" t="inlineStr">
        <is>
          <t>M365 usage report</t>
        </is>
      </c>
      <c r="G47" s="10" t="inlineStr">
        <is>
          <t>SharePoint site usage report, exported as CSV</t>
        </is>
      </c>
      <c r="H47"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47" s="10" t="inlineStr">
        <is>
          <t>'Owner Principal Name'</t>
        </is>
      </c>
      <c r="J47" s="10" t="inlineStr">
        <is>
          <t>Count rows where 'Owner Principal Name' is BLANK. In the test tenant that is exactly 19 of the 1,918 live sites, and those 19 are the ones worth chasing</t>
        </is>
      </c>
      <c r="K47" s="10" t="inlineStr">
        <is>
          <t>2 Site Activity</t>
        </is>
      </c>
      <c r="L47" s="10" t="inlineStr">
        <is>
          <t>SiteOwner</t>
        </is>
      </c>
      <c r="M47" s="10" t="inlineStr">
        <is>
          <t>Yes</t>
        </is>
      </c>
      <c r="N47" s="10" t="inlineStr">
        <is>
          <t>Yes</t>
        </is>
      </c>
      <c r="O47" s="10" t="inlineStr">
        <is>
          <t>Easy</t>
        </is>
      </c>
      <c r="P47" s="11" t="inlineStr">
        <is>
          <t>Buildable now</t>
        </is>
      </c>
      <c r="Q47" s="10" t="inlineStr"/>
      <c r="R47" s="10" t="inlineStr"/>
      <c r="S47" s="10" t="inlineStr"/>
      <c r="T47" s="10" t="inlineStr"/>
    </row>
    <row r="48">
      <c r="A48" s="9" t="n">
        <v>44</v>
      </c>
      <c r="B48" s="10" t="inlineStr">
        <is>
          <t>Risk and compliance</t>
        </is>
      </c>
      <c r="C48" s="10" t="inlineStr">
        <is>
          <t>Libraries across sites, active, dormant</t>
        </is>
      </c>
      <c r="D48" s="10" t="inlineStr">
        <is>
          <t>Tile</t>
        </is>
      </c>
      <c r="E48" s="10" t="inlineStr">
        <is>
          <t>Library counts and their activity</t>
        </is>
      </c>
      <c r="F48" s="10" t="inlineStr">
        <is>
          <t>Microsoft Graph</t>
        </is>
      </c>
      <c r="G48" s="10" t="inlineStr">
        <is>
          <t>Microsoft Graph, run interactively</t>
        </is>
      </c>
      <c r="H48" s="10" t="inlineStr">
        <is>
          <t>1. Go to https://aka.ms/ge, the Graph Explorer
2. Sign in with a tenant account and consent to the scope named in the next column
3. Paste the call from the Exact column heading cell into the address bar and click Run query
4. Read the field named in that same cell out of the JSON response</t>
        </is>
      </c>
      <c r="I48" s="10" t="inlineStr">
        <is>
          <t>GET /sites/{siteId}/drives, then count the drives and read lastModifiedDateTime on each</t>
        </is>
      </c>
      <c r="J48" s="10" t="inlineStr">
        <is>
          <t>Count the drives returned per site and sum across sites. A library is active if lastModifiedDateTime is inside 90 days, dormant at 180. The drive's list.id is the ListId that joins back to the records</t>
        </is>
      </c>
      <c r="K48" s="10" t="inlineStr">
        <is>
          <t>2 Site Activity and 1 Utilization Report</t>
        </is>
      </c>
      <c r="L48" s="10" t="inlineStr">
        <is>
          <t>LibraryCount, LibraryLastActivityDate</t>
        </is>
      </c>
      <c r="M48" s="10" t="inlineStr">
        <is>
          <t>Yes</t>
        </is>
      </c>
      <c r="N48" s="10" t="inlineStr">
        <is>
          <t>Yes</t>
        </is>
      </c>
      <c r="O48" s="10" t="inlineStr">
        <is>
          <t>Easy</t>
        </is>
      </c>
      <c r="P48" s="11" t="inlineStr">
        <is>
          <t>Buildable now</t>
        </is>
      </c>
      <c r="Q48" s="10" t="inlineStr"/>
      <c r="R48" s="10" t="inlineStr"/>
      <c r="S48" s="10" t="inlineStr"/>
      <c r="T48" s="10" t="inlineStr"/>
    </row>
    <row r="49">
      <c r="A49" s="9" t="n">
        <v>45</v>
      </c>
      <c r="B49" s="10" t="inlineStr">
        <is>
          <t>Risk and compliance</t>
        </is>
      </c>
      <c r="C49" s="10" t="inlineStr">
        <is>
          <t>Libraries with no declared records</t>
        </is>
      </c>
      <c r="D49" s="10" t="inlineStr">
        <is>
          <t>Tile</t>
        </is>
      </c>
      <c r="E49" s="10" t="inlineStr">
        <is>
          <t>Provisioned but unused</t>
        </is>
      </c>
      <c r="F49" s="10" t="inlineStr">
        <is>
          <t>EDRMS database</t>
        </is>
      </c>
      <c r="G49" s="10" t="inlineStr">
        <is>
          <t>No single file. Computed from the tables above</t>
        </is>
      </c>
      <c r="H49" s="10" t="inlineStr">
        <is>
          <t>Produced by the refresh job from the sources above rather than read from one export. Verify it by checking the inputs named in the next two columns</t>
        </is>
      </c>
      <c r="I49" s="10" t="inlineStr">
        <is>
          <t>The Graph drive list, and 'ListId' on the Records table</t>
        </is>
      </c>
      <c r="J49" s="10" t="inlineStr">
        <is>
          <t>List every drive from Graph, list the DISTINCT "ListId" values in Records, and count the drives that appear in the first list and not the second. Group on ListId, never on library name, because names repeat across sites and change on rename</t>
        </is>
      </c>
      <c r="K49" s="10" t="inlineStr">
        <is>
          <t>1 Utilization Report</t>
        </is>
      </c>
      <c r="L49" s="10" t="inlineStr">
        <is>
          <t>ListId, IsDeclaredRecord</t>
        </is>
      </c>
      <c r="M49" s="10" t="inlineStr">
        <is>
          <t>Yes</t>
        </is>
      </c>
      <c r="N49" s="10" t="inlineStr">
        <is>
          <t>Yes</t>
        </is>
      </c>
      <c r="O49" s="10" t="inlineStr">
        <is>
          <t>Easy</t>
        </is>
      </c>
      <c r="P49" s="11" t="inlineStr">
        <is>
          <t>Buildable now</t>
        </is>
      </c>
      <c r="Q49" s="10" t="inlineStr"/>
      <c r="R49" s="10" t="inlineStr"/>
      <c r="S49" s="10" t="inlineStr"/>
      <c r="T49" s="10" t="inlineStr"/>
    </row>
    <row r="50">
      <c r="A50" s="9" t="n">
        <v>46</v>
      </c>
      <c r="B50" s="10" t="inlineStr">
        <is>
          <t>Risk and compliance</t>
        </is>
      </c>
      <c r="C50" s="10" t="inlineStr">
        <is>
          <t>Library growth rate</t>
        </is>
      </c>
      <c r="D50" s="10" t="inlineStr">
        <is>
          <t>Tile</t>
        </is>
      </c>
      <c r="E50" s="10" t="inlineStr">
        <is>
          <t>New records against the opening balance</t>
        </is>
      </c>
      <c r="F50" s="10" t="inlineStr">
        <is>
          <t>EDRMS database</t>
        </is>
      </c>
      <c r="G50" s="10" t="inlineStr">
        <is>
          <t>The EDRMS database, drm-npr, table public."Records"</t>
        </is>
      </c>
      <c r="H50"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50" s="10" t="inlineStr">
        <is>
          <t>'CreatedDate' and 'ListId'</t>
        </is>
      </c>
      <c r="J50" s="10" t="inlineStr">
        <is>
          <t>Records created inside the period, divided by records already held at the start of it, times 100</t>
        </is>
      </c>
      <c r="K50" s="10" t="inlineStr">
        <is>
          <t>1 Utilization Report</t>
        </is>
      </c>
      <c r="L50" s="10" t="inlineStr">
        <is>
          <t>CreatedDate, ListId</t>
        </is>
      </c>
      <c r="M50" s="10" t="inlineStr">
        <is>
          <t>Yes</t>
        </is>
      </c>
      <c r="N50" s="10" t="inlineStr">
        <is>
          <t>Yes</t>
        </is>
      </c>
      <c r="O50" s="10" t="inlineStr">
        <is>
          <t>Easy</t>
        </is>
      </c>
      <c r="P50" s="11" t="inlineStr">
        <is>
          <t>Buildable now</t>
        </is>
      </c>
      <c r="Q50" s="10" t="inlineStr"/>
      <c r="R50" s="10" t="inlineStr"/>
      <c r="S50" s="10" t="inlineStr"/>
      <c r="T50" s="10" t="inlineStr"/>
    </row>
    <row r="51">
      <c r="A51" s="9" t="n">
        <v>47</v>
      </c>
      <c r="B51" s="10" t="inlineStr">
        <is>
          <t>Risk and compliance</t>
        </is>
      </c>
      <c r="C51" s="10" t="inlineStr">
        <is>
          <t>Library ranking, three measures</t>
        </is>
      </c>
      <c r="D51" s="10" t="inlineStr">
        <is>
          <t>Chart</t>
        </is>
      </c>
      <c r="E51" s="10" t="inlineStr">
        <is>
          <t>Largest by volume, by storage, and highest declaration rate</t>
        </is>
      </c>
      <c r="F51" s="10" t="inlineStr">
        <is>
          <t>EDRMS database</t>
        </is>
      </c>
      <c r="G51" s="10" t="inlineStr">
        <is>
          <t>No single file. Computed from the tables above</t>
        </is>
      </c>
      <c r="H51" s="10" t="inlineStr">
        <is>
          <t>Produced by the refresh job from the sources above rather than read from one export. Verify it by checking the inputs named in the next two columns</t>
        </is>
      </c>
      <c r="I51" s="10" t="inlineStr">
        <is>
          <t>'ListId' and 'LibraryName' from Records, the size field from Graph, and the site name</t>
        </is>
      </c>
      <c r="J51" s="10" t="inlineStr">
        <is>
          <t>Group on ListId. Volume is COUNT(*), storage is SUM of the Graph size field, rate is records divided by documents. Always display the library with its parent site, because a bare library name is ambiguous across sites</t>
        </is>
      </c>
      <c r="K51" s="10" t="inlineStr">
        <is>
          <t>1 Utilization Report</t>
        </is>
      </c>
      <c r="L51" s="10" t="inlineStr">
        <is>
          <t>ListId, LibraryName, SiteName, FileSize</t>
        </is>
      </c>
      <c r="M51" s="10" t="inlineStr">
        <is>
          <t>Yes</t>
        </is>
      </c>
      <c r="N51" s="10" t="inlineStr">
        <is>
          <t>Partly</t>
        </is>
      </c>
      <c r="O51" s="10" t="inlineStr">
        <is>
          <t>Easy</t>
        </is>
      </c>
      <c r="P51" s="11" t="inlineStr">
        <is>
          <t>Buildable now</t>
        </is>
      </c>
      <c r="Q51" s="10" t="inlineStr"/>
      <c r="R51" s="10" t="inlineStr"/>
      <c r="S51" s="10" t="inlineStr"/>
      <c r="T51" s="10" t="inlineStr"/>
    </row>
    <row r="52">
      <c r="A52" s="9" t="n">
        <v>48</v>
      </c>
      <c r="B52" s="10" t="inlineStr">
        <is>
          <t>Risk and compliance</t>
        </is>
      </c>
      <c r="C52" s="10" t="inlineStr">
        <is>
          <t>Most used libraries</t>
        </is>
      </c>
      <c r="D52" s="10" t="inlineStr">
        <is>
          <t>Tile</t>
        </is>
      </c>
      <c r="E52" s="10" t="inlineStr">
        <is>
          <t>Libraries ranked by views and edits</t>
        </is>
      </c>
      <c r="F52" s="10" t="inlineStr">
        <is>
          <t>No source</t>
        </is>
      </c>
      <c r="G52" s="10" t="inlineStr">
        <is>
          <t>No file exists</t>
        </is>
      </c>
      <c r="H52" s="10" t="inlineStr">
        <is>
          <t>There is nothing to open. No system this report can reach holds this figure. See the question column for who to ask</t>
        </is>
      </c>
      <c r="I52" s="10" t="inlineStr">
        <is>
          <t>No export reports activity below site level</t>
        </is>
      </c>
      <c r="J52" s="10" t="inlineStr">
        <is>
          <t>Cannot be worked out. The site usage export has 'Page View Count' per SITE only, and Graph analytics also reports per site. There is no per library activity feed at all</t>
        </is>
      </c>
      <c r="K52" s="10" t="inlineStr">
        <is>
          <t>None</t>
        </is>
      </c>
      <c r="L52" s="10" t="inlineStr">
        <is>
          <t>No column exists</t>
        </is>
      </c>
      <c r="M52" s="10" t="inlineStr">
        <is>
          <t>No</t>
        </is>
      </c>
      <c r="N52" s="10" t="inlineStr">
        <is>
          <t>No</t>
        </is>
      </c>
      <c r="O52" s="10" t="inlineStr">
        <is>
          <t>Blocked</t>
        </is>
      </c>
      <c r="P52" s="13" t="inlineStr">
        <is>
          <t>Needs new data source</t>
        </is>
      </c>
      <c r="Q52" s="10" t="inlineStr">
        <is>
          <t>Tell the client this cannot be produced and offer records created per library instead. Why: Microsoft exposes no per library activity anywhere</t>
        </is>
      </c>
      <c r="R52" s="10" t="inlineStr"/>
      <c r="S52" s="10" t="inlineStr"/>
      <c r="T52" s="10" t="inlineStr"/>
    </row>
    <row r="53">
      <c r="A53" s="9" t="n">
        <v>49</v>
      </c>
      <c r="B53" s="10" t="inlineStr">
        <is>
          <t>Risk and compliance</t>
        </is>
      </c>
      <c r="C53" s="10" t="inlineStr">
        <is>
          <t>Orphaned libraries</t>
        </is>
      </c>
      <c r="D53" s="10" t="inlineStr">
        <is>
          <t>Tile</t>
        </is>
      </c>
      <c r="E53" s="10" t="inlineStr">
        <is>
          <t>Libraries with no owner</t>
        </is>
      </c>
      <c r="F53" s="10" t="inlineStr">
        <is>
          <t>No source</t>
        </is>
      </c>
      <c r="G53" s="10" t="inlineStr">
        <is>
          <t>No file exists</t>
        </is>
      </c>
      <c r="H53" s="10" t="inlineStr">
        <is>
          <t>There is nothing to open. No system this report can reach holds this figure. See the question column for who to ask</t>
        </is>
      </c>
      <c r="I53" s="10" t="inlineStr">
        <is>
          <t>'Owner Principal Name' exists for SITES only</t>
        </is>
      </c>
      <c r="J53" s="10" t="inlineStr">
        <is>
          <t>Cannot be worked out. The tenant returns an owner for a site, never for a library inside it</t>
        </is>
      </c>
      <c r="K53" s="10" t="inlineStr">
        <is>
          <t>None</t>
        </is>
      </c>
      <c r="L53" s="10" t="inlineStr">
        <is>
          <t>No library owner column exists</t>
        </is>
      </c>
      <c r="M53" s="10" t="inlineStr">
        <is>
          <t>No</t>
        </is>
      </c>
      <c r="N53" s="10" t="inlineStr">
        <is>
          <t>No</t>
        </is>
      </c>
      <c r="O53" s="10" t="inlineStr">
        <is>
          <t>Blocked</t>
        </is>
      </c>
      <c r="P53" s="15" t="inlineStr">
        <is>
          <t>Needs new column or join</t>
        </is>
      </c>
      <c r="Q53" s="10" t="inlineStr">
        <is>
          <t>Ask whether a library owner is maintained anywhere. Why: the site owner is the only one the tenant returns</t>
        </is>
      </c>
      <c r="R53" s="10" t="inlineStr"/>
      <c r="S53" s="10" t="inlineStr"/>
      <c r="T53" s="10" t="inlineStr"/>
    </row>
    <row r="54">
      <c r="A54" s="9" t="n">
        <v>50</v>
      </c>
      <c r="B54" s="10" t="inlineStr">
        <is>
          <t>Records quality</t>
        </is>
      </c>
      <c r="C54" s="10" t="inlineStr">
        <is>
          <t>Duplicated records</t>
        </is>
      </c>
      <c r="D54" s="10" t="inlineStr">
        <is>
          <t>Tile</t>
        </is>
      </c>
      <c r="E54" s="10" t="inlineStr">
        <is>
          <t>Declared records sharing a filename</t>
        </is>
      </c>
      <c r="F54" s="10" t="inlineStr">
        <is>
          <t>EDRMS database</t>
        </is>
      </c>
      <c r="G54" s="10" t="inlineStr">
        <is>
          <t>The EDRMS database, drm-npr, table public."Records"</t>
        </is>
      </c>
      <c r="H54"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54" s="10" t="inlineStr">
        <is>
          <t>'Title'</t>
        </is>
      </c>
      <c r="J54" s="10" t="inlineStr">
        <is>
          <t>SELECT "Title", COUNT(*) FROM public."Records" GROUP BY "Title" HAVING COUNT(*) &gt; 1. Sum those counts for the total. It WILL overcount legitimate repeats such as a monthly report filed each month under the same name</t>
        </is>
      </c>
      <c r="K54" s="10" t="inlineStr">
        <is>
          <t>1 Utilization Report</t>
        </is>
      </c>
      <c r="L54" s="10" t="inlineStr">
        <is>
          <t>Title</t>
        </is>
      </c>
      <c r="M54" s="10" t="inlineStr">
        <is>
          <t>Yes</t>
        </is>
      </c>
      <c r="N54" s="10" t="inlineStr">
        <is>
          <t>Yes</t>
        </is>
      </c>
      <c r="O54" s="10" t="inlineStr">
        <is>
          <t>Easy</t>
        </is>
      </c>
      <c r="P54" s="11" t="inlineStr">
        <is>
          <t>Buildable now</t>
        </is>
      </c>
      <c r="Q54" s="10" t="inlineStr">
        <is>
          <t>Confirm the definition. Why: the client wrote 'with same filenames?' themselves, so they already suspect it is imprecise</t>
        </is>
      </c>
      <c r="R54" s="10" t="inlineStr"/>
      <c r="S54" s="10" t="inlineStr"/>
      <c r="T54" s="10" t="inlineStr"/>
    </row>
    <row r="55">
      <c r="A55" s="9" t="n">
        <v>51</v>
      </c>
      <c r="B55" s="10" t="inlineStr">
        <is>
          <t>Records quality</t>
        </is>
      </c>
      <c r="C55" s="10" t="inlineStr">
        <is>
          <t>Orphaned records</t>
        </is>
      </c>
      <c r="D55" s="10" t="inlineStr">
        <is>
          <t>Tile</t>
        </is>
      </c>
      <c r="E55" s="10" t="inlineStr">
        <is>
          <t>Records whose parent no longer resolves</t>
        </is>
      </c>
      <c r="F55" s="10" t="inlineStr">
        <is>
          <t>EDRMS database</t>
        </is>
      </c>
      <c r="G55" s="10" t="inlineStr">
        <is>
          <t>No single file. Computed from the tables above</t>
        </is>
      </c>
      <c r="H55" s="10" t="inlineStr">
        <is>
          <t>Produced by the refresh job from the sources above rather than read from one export. Verify it by checking the inputs named in the next two columns</t>
        </is>
      </c>
      <c r="I55" s="10" t="inlineStr">
        <is>
          <t>'ListId' and 'SiteUrl' on Records, against the Graph site and drive lists</t>
        </is>
      </c>
      <c r="J55" s="10" t="inlineStr">
        <is>
          <t>Left join Records to the Graph lists on ListId and on site. Count the records that find no match, meaning their library or site no longer exists</t>
        </is>
      </c>
      <c r="K55" s="10" t="inlineStr">
        <is>
          <t>1 Utilization Report</t>
        </is>
      </c>
      <c r="L55" s="10" t="inlineStr">
        <is>
          <t>ListId, SiteUrl</t>
        </is>
      </c>
      <c r="M55" s="10" t="inlineStr">
        <is>
          <t>Yes</t>
        </is>
      </c>
      <c r="N55" s="10" t="inlineStr">
        <is>
          <t>Yes</t>
        </is>
      </c>
      <c r="O55" s="10" t="inlineStr">
        <is>
          <t>Easy</t>
        </is>
      </c>
      <c r="P55" s="11" t="inlineStr">
        <is>
          <t>Buildable now</t>
        </is>
      </c>
      <c r="Q55" s="10" t="inlineStr">
        <is>
          <t>Confirm what counts as orphaned. Why: a missing site, a missing library and a missing owner give three different numbers</t>
        </is>
      </c>
      <c r="R55" s="10" t="inlineStr"/>
      <c r="S55" s="10" t="inlineStr"/>
      <c r="T55" s="10" t="inlineStr"/>
    </row>
    <row r="56">
      <c r="A56" s="9" t="n">
        <v>52</v>
      </c>
      <c r="B56" s="10" t="inlineStr">
        <is>
          <t>Classification</t>
        </is>
      </c>
      <c r="C56" s="10" t="inlineStr">
        <is>
          <t>Records by sensitivity label</t>
        </is>
      </c>
      <c r="D56" s="10" t="inlineStr">
        <is>
          <t>Chart and tile</t>
        </is>
      </c>
      <c r="E56" s="10" t="inlineStr">
        <is>
          <t>Protection applied to records</t>
        </is>
      </c>
      <c r="F56" s="10" t="inlineStr">
        <is>
          <t>EDRMS database</t>
        </is>
      </c>
      <c r="G56" s="10" t="inlineStr">
        <is>
          <t>The EDRMS database, drm-npr, table public."Records"</t>
        </is>
      </c>
      <c r="H56"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56" s="10" t="inlineStr">
        <is>
          <t>The FileMeta JSON column, key SensitivityLabelName</t>
        </is>
      </c>
      <c r="J56" s="10" t="inlineStr">
        <is>
          <t>COUNT(*) grouped by the SensitivityLabelName key, counting NULL as unlabelled. NOTE the site usage export also has a 'Site Sensitivity Label Id' column, but it is EMPTY on all 2,575 rows in the test tenant, so site level labels are not available and this must come from the record</t>
        </is>
      </c>
      <c r="K56" s="10" t="inlineStr">
        <is>
          <t>1 Utilization Report</t>
        </is>
      </c>
      <c r="L56" s="10" t="inlineStr">
        <is>
          <t>SensitivityLabelName</t>
        </is>
      </c>
      <c r="M56" s="10" t="inlineStr">
        <is>
          <t>Yes</t>
        </is>
      </c>
      <c r="N56" s="10" t="inlineStr">
        <is>
          <t>Yes</t>
        </is>
      </c>
      <c r="O56" s="10" t="inlineStr">
        <is>
          <t>Easy</t>
        </is>
      </c>
      <c r="P56" s="11" t="inlineStr">
        <is>
          <t>Buildable now</t>
        </is>
      </c>
      <c r="Q56" s="10" t="inlineStr"/>
      <c r="R56" s="10" t="inlineStr"/>
      <c r="S56" s="10" t="inlineStr"/>
      <c r="T56" s="10" t="inlineStr"/>
    </row>
    <row r="57">
      <c r="A57" s="9" t="n">
        <v>53</v>
      </c>
      <c r="B57" s="10" t="inlineStr">
        <is>
          <t>Classification</t>
        </is>
      </c>
      <c r="C57" s="10" t="inlineStr">
        <is>
          <t>Restricted and Confidential records</t>
        </is>
      </c>
      <c r="D57" s="10" t="inlineStr">
        <is>
          <t>Tile</t>
        </is>
      </c>
      <c r="E57" s="10" t="inlineStr">
        <is>
          <t>Counts per level</t>
        </is>
      </c>
      <c r="F57" s="10" t="inlineStr">
        <is>
          <t>EDRMS database</t>
        </is>
      </c>
      <c r="G57" s="10" t="inlineStr">
        <is>
          <t>The EDRMS database, drm-npr, table public."Records"</t>
        </is>
      </c>
      <c r="H57"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57" s="10" t="inlineStr">
        <is>
          <t>The FileMeta key SensitivityLabelName</t>
        </is>
      </c>
      <c r="J57" s="10" t="inlineStr">
        <is>
          <t>COUNT(*) where the label equals each level name. The tile names must match the label names actually in use in the tenant</t>
        </is>
      </c>
      <c r="K57" s="10" t="inlineStr">
        <is>
          <t>1 Utilization Report</t>
        </is>
      </c>
      <c r="L57" s="10" t="inlineStr">
        <is>
          <t>SensitivityLabelName</t>
        </is>
      </c>
      <c r="M57" s="10" t="inlineStr">
        <is>
          <t>Yes</t>
        </is>
      </c>
      <c r="N57" s="10" t="inlineStr">
        <is>
          <t>Yes</t>
        </is>
      </c>
      <c r="O57" s="10" t="inlineStr">
        <is>
          <t>Easy</t>
        </is>
      </c>
      <c r="P57" s="11" t="inlineStr">
        <is>
          <t>Buildable now</t>
        </is>
      </c>
      <c r="Q57" s="10" t="inlineStr">
        <is>
          <t>Confirm the label names in use. Why: the tiles must carry the tenant's own wording</t>
        </is>
      </c>
      <c r="R57" s="10" t="inlineStr"/>
      <c r="S57" s="10" t="inlineStr"/>
      <c r="T57" s="10" t="inlineStr"/>
    </row>
    <row r="58">
      <c r="A58" s="9" t="n">
        <v>54</v>
      </c>
      <c r="B58" s="10" t="inlineStr">
        <is>
          <t>Access management</t>
        </is>
      </c>
      <c r="C58" s="10" t="inlineStr">
        <is>
          <t>External sharing</t>
        </is>
      </c>
      <c r="D58" s="10" t="inlineStr">
        <is>
          <t>Tile</t>
        </is>
      </c>
      <c r="E58" s="10" t="inlineStr">
        <is>
          <t>Where content leaves its site</t>
        </is>
      </c>
      <c r="F58" s="10" t="inlineStr">
        <is>
          <t>M365 usage report</t>
        </is>
      </c>
      <c r="G58" s="10" t="inlineStr">
        <is>
          <t>SharePoint site usage report, exported as CSV</t>
        </is>
      </c>
      <c r="H58"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58" s="10" t="inlineStr">
        <is>
          <t>'External Sharing', plus 'Anonymous Link Count', 'Company Link Count', 'Secure Link For Guest Count' and 'Secure Link For Member Count'</t>
        </is>
      </c>
      <c r="J58" s="10" t="inlineStr">
        <is>
          <t>'External Sharing' is True or False per site and IS populated on all 2,575 rows, so count the True rows for sites where sharing is permitted. The four link count columns would give actual sharing instances, but every one of them is ZERO on every row in the test tenant, so confirm on production before promising a number</t>
        </is>
      </c>
      <c r="K58" s="10" t="inlineStr">
        <is>
          <t>2 Site Activity</t>
        </is>
      </c>
      <c r="L58" s="10" t="inlineStr">
        <is>
          <t>New column, not yet in the design</t>
        </is>
      </c>
      <c r="M58" s="10" t="inlineStr">
        <is>
          <t>No</t>
        </is>
      </c>
      <c r="N58" s="10" t="inlineStr">
        <is>
          <t>Yes, the policy flag</t>
        </is>
      </c>
      <c r="O58" s="10" t="inlineStr">
        <is>
          <t>Medium</t>
        </is>
      </c>
      <c r="P58" s="15" t="inlineStr">
        <is>
          <t>Needs new column or join</t>
        </is>
      </c>
      <c r="Q58" s="10" t="inlineStr">
        <is>
          <t>Add External Sharing to the site table, and check the four link count columns on production. Why: they are all zero in the test tenant, which may mean no sharing or may mean not populated, and those are very different answers</t>
        </is>
      </c>
      <c r="R58" s="10" t="inlineStr"/>
      <c r="S58" s="10" t="inlineStr"/>
      <c r="T58" s="10" t="inlineStr"/>
    </row>
    <row r="59">
      <c r="A59" s="9" t="n">
        <v>55</v>
      </c>
      <c r="B59" s="10" t="inlineStr">
        <is>
          <t>Access management</t>
        </is>
      </c>
      <c r="C59" s="10" t="inlineStr">
        <is>
          <t>Access requests granted and declined</t>
        </is>
      </c>
      <c r="D59" s="10" t="inlineStr">
        <is>
          <t>Tile</t>
        </is>
      </c>
      <c r="E59" s="10" t="inlineStr">
        <is>
          <t>Permission requests</t>
        </is>
      </c>
      <c r="F59" s="10" t="inlineStr">
        <is>
          <t>No source</t>
        </is>
      </c>
      <c r="G59" s="10" t="inlineStr">
        <is>
          <t>No file exists</t>
        </is>
      </c>
      <c r="H59" s="10" t="inlineStr">
        <is>
          <t>There is nothing to open. No system this report can reach holds this figure. See the question column for who to ask</t>
        </is>
      </c>
      <c r="I59" s="10" t="inlineStr">
        <is>
          <t>No column in either export</t>
        </is>
      </c>
      <c r="J59" s="10" t="inlineStr">
        <is>
          <t>Cannot be worked out. These live in the audit log, a different Graph surface with a different permission set</t>
        </is>
      </c>
      <c r="K59" s="10" t="inlineStr">
        <is>
          <t>None</t>
        </is>
      </c>
      <c r="L59" s="10" t="inlineStr">
        <is>
          <t>No column exists</t>
        </is>
      </c>
      <c r="M59" s="10" t="inlineStr">
        <is>
          <t>No</t>
        </is>
      </c>
      <c r="N59" s="10" t="inlineStr">
        <is>
          <t>No</t>
        </is>
      </c>
      <c r="O59" s="10" t="inlineStr">
        <is>
          <t>Blocked</t>
        </is>
      </c>
      <c r="P59" s="13" t="inlineStr">
        <is>
          <t>Needs new data source</t>
        </is>
      </c>
      <c r="Q59" s="10" t="inlineStr">
        <is>
          <t>Ask whether audit log access can be granted, and confirm the purpose. Why: access requests, external sharing and permission exceptions live in the audit log, a different Graph surface with a different permission set</t>
        </is>
      </c>
      <c r="R59" s="10" t="inlineStr"/>
      <c r="S59" s="10" t="inlineStr"/>
      <c r="T59" s="10" t="inlineStr"/>
    </row>
    <row r="60">
      <c r="A60" s="9" t="n">
        <v>56</v>
      </c>
      <c r="B60" s="10" t="inlineStr">
        <is>
          <t>Access management</t>
        </is>
      </c>
      <c r="C60" s="10" t="inlineStr">
        <is>
          <t>Permission exceptions</t>
        </is>
      </c>
      <c r="D60" s="10" t="inlineStr">
        <is>
          <t>Tile</t>
        </is>
      </c>
      <c r="E60" s="10" t="inlineStr">
        <is>
          <t>Access outside the standard grants</t>
        </is>
      </c>
      <c r="F60" s="10" t="inlineStr">
        <is>
          <t>No source</t>
        </is>
      </c>
      <c r="G60" s="10" t="inlineStr">
        <is>
          <t>No file exists</t>
        </is>
      </c>
      <c r="H60" s="10" t="inlineStr">
        <is>
          <t>There is nothing to open. No system this report can reach holds this figure. See the question column for who to ask</t>
        </is>
      </c>
      <c r="I60" s="10" t="inlineStr">
        <is>
          <t>No column in either export</t>
        </is>
      </c>
      <c r="J60" s="10" t="inlineStr">
        <is>
          <t>Cannot be worked out. Audit log data</t>
        </is>
      </c>
      <c r="K60" s="10" t="inlineStr">
        <is>
          <t>None</t>
        </is>
      </c>
      <c r="L60" s="10" t="inlineStr">
        <is>
          <t>No column exists</t>
        </is>
      </c>
      <c r="M60" s="10" t="inlineStr">
        <is>
          <t>No</t>
        </is>
      </c>
      <c r="N60" s="10" t="inlineStr">
        <is>
          <t>No</t>
        </is>
      </c>
      <c r="O60" s="10" t="inlineStr">
        <is>
          <t>Blocked</t>
        </is>
      </c>
      <c r="P60" s="13" t="inlineStr">
        <is>
          <t>Needs new data source</t>
        </is>
      </c>
      <c r="Q60" s="10" t="inlineStr">
        <is>
          <t>Ask whether audit log access can be granted, and confirm the purpose. Why: access requests, external sharing and permission exceptions live in the audit log, a different Graph surface with a different permission set</t>
        </is>
      </c>
      <c r="R60" s="10" t="inlineStr"/>
      <c r="S60" s="10" t="inlineStr"/>
      <c r="T60" s="10" t="inlineStr"/>
    </row>
    <row r="61">
      <c r="A61" s="9" t="n">
        <v>57</v>
      </c>
      <c r="B61" s="10" t="inlineStr">
        <is>
          <t>Search analytics</t>
        </is>
      </c>
      <c r="C61" s="10" t="inlineStr">
        <is>
          <t>Searches performed, Successful searches</t>
        </is>
      </c>
      <c r="D61" s="10" t="inlineStr">
        <is>
          <t>Tile</t>
        </is>
      </c>
      <c r="E61" s="10" t="inlineStr">
        <is>
          <t>How people find records</t>
        </is>
      </c>
      <c r="F61" s="10" t="inlineStr">
        <is>
          <t>No source</t>
        </is>
      </c>
      <c r="G61" s="10" t="inlineStr">
        <is>
          <t>No file exists</t>
        </is>
      </c>
      <c r="H61" s="10" t="inlineStr">
        <is>
          <t>There is nothing to open. No system this report can reach holds this figure. See the question column for who to ask</t>
        </is>
      </c>
      <c r="I61" s="10" t="inlineStr">
        <is>
          <t>No column in any export</t>
        </is>
      </c>
      <c r="J61" s="10" t="inlineStr">
        <is>
          <t>Cannot be worked out. SharePoint search analytics are reported at tenant level and are never attributed to a record or a library</t>
        </is>
      </c>
      <c r="K61" s="10" t="inlineStr">
        <is>
          <t>None</t>
        </is>
      </c>
      <c r="L61" s="10" t="inlineStr">
        <is>
          <t>No column exists</t>
        </is>
      </c>
      <c r="M61" s="10" t="inlineStr">
        <is>
          <t>No</t>
        </is>
      </c>
      <c r="N61" s="10" t="inlineStr">
        <is>
          <t>No</t>
        </is>
      </c>
      <c r="O61" s="10" t="inlineStr">
        <is>
          <t>Blocked</t>
        </is>
      </c>
      <c r="P61" s="13" t="inlineStr">
        <is>
          <t>Needs new data source</t>
        </is>
      </c>
      <c r="Q61" s="10" t="inlineStr">
        <is>
          <t>Tell the client search analytics cannot be attributed to a record. Why: Microsoft reports them at tenant level only</t>
        </is>
      </c>
      <c r="R61" s="10" t="inlineStr"/>
      <c r="S61" s="10" t="inlineStr"/>
      <c r="T61" s="10" t="inlineStr"/>
    </row>
    <row r="62">
      <c r="A62" s="9" t="n">
        <v>58</v>
      </c>
      <c r="B62" s="10" t="inlineStr">
        <is>
          <t>Search analytics</t>
        </is>
      </c>
      <c r="C62" s="10" t="inlineStr">
        <is>
          <t>Most viewed and most downloaded records</t>
        </is>
      </c>
      <c r="D62" s="10" t="inlineStr">
        <is>
          <t>Tile</t>
        </is>
      </c>
      <c r="E62" s="10" t="inlineStr">
        <is>
          <t>Top content</t>
        </is>
      </c>
      <c r="F62" s="10" t="inlineStr">
        <is>
          <t>No source</t>
        </is>
      </c>
      <c r="G62" s="10" t="inlineStr">
        <is>
          <t>No file exists</t>
        </is>
      </c>
      <c r="H62" s="10" t="inlineStr">
        <is>
          <t>There is nothing to open. No system this report can reach holds this figure. See the question column for who to ask</t>
        </is>
      </c>
      <c r="I62" s="10" t="inlineStr">
        <is>
          <t>The nearest is 'Page View Count', which is per site</t>
        </is>
      </c>
      <c r="J62" s="10" t="inlineStr">
        <is>
          <t>Cannot be worked out at document level. Graph analytics reports a site, never a document</t>
        </is>
      </c>
      <c r="K62" s="10" t="inlineStr">
        <is>
          <t>None</t>
        </is>
      </c>
      <c r="L62" s="10" t="inlineStr">
        <is>
          <t>No column exists</t>
        </is>
      </c>
      <c r="M62" s="10" t="inlineStr">
        <is>
          <t>No</t>
        </is>
      </c>
      <c r="N62" s="10" t="inlineStr">
        <is>
          <t>No</t>
        </is>
      </c>
      <c r="O62" s="10" t="inlineStr">
        <is>
          <t>Blocked</t>
        </is>
      </c>
      <c r="P62" s="13" t="inlineStr">
        <is>
          <t>Needs new data source</t>
        </is>
      </c>
      <c r="Q62" s="10" t="inlineStr">
        <is>
          <t>Offer most active sites instead. Why: document grain analytics do not exist</t>
        </is>
      </c>
      <c r="R62" s="10" t="inlineStr"/>
      <c r="S62" s="10" t="inlineStr"/>
      <c r="T62" s="10" t="inlineStr"/>
    </row>
  </sheetData>
  <autoFilter ref="A4:T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8" customWidth="1" min="3" max="3"/>
    <col width="9" customWidth="1" min="4" max="4"/>
    <col width="34" customWidth="1" min="5" max="5"/>
    <col width="18" customWidth="1" min="6" max="6"/>
    <col width="30" customWidth="1" min="7" max="7"/>
    <col width="62" customWidth="1" min="8" max="8"/>
    <col width="40" customWidth="1" min="9" max="9"/>
    <col width="60" customWidth="1" min="10" max="10"/>
    <col width="20" customWidth="1" min="11" max="11"/>
    <col width="28" customWidth="1" min="12" max="12"/>
    <col width="13" customWidth="1" min="13" max="13"/>
    <col width="15" customWidth="1" min="14" max="14"/>
    <col width="9" customWidth="1" min="15" max="15"/>
    <col width="24" customWidth="1" min="16" max="16"/>
    <col width="58" customWidth="1" min="17" max="17"/>
    <col width="46" customWidth="1" min="18" max="18"/>
    <col width="40" customWidth="1" min="19" max="19"/>
    <col width="69" customWidth="1" min="20" max="20"/>
  </cols>
  <sheetData>
    <row r="1" ht="20" customHeight="1">
      <c r="A1" s="5" t="inlineStr">
        <is>
          <t>Department Insights</t>
        </is>
      </c>
      <c r="B1" s="6" t="n"/>
      <c r="C1" s="6" t="n"/>
      <c r="D1" s="6" t="n"/>
      <c r="E1" s="6" t="n"/>
      <c r="F1" s="6" t="n"/>
      <c r="G1" s="6" t="n"/>
      <c r="H1" s="6" t="n"/>
      <c r="I1" s="6" t="n"/>
      <c r="J1" s="6" t="n"/>
      <c r="K1" s="6" t="n"/>
      <c r="L1" s="6" t="n"/>
      <c r="M1" s="6" t="n"/>
      <c r="N1" s="6" t="n"/>
      <c r="O1" s="6" t="n"/>
      <c r="P1" s="6" t="n"/>
      <c r="Q1" s="6" t="n"/>
      <c r="R1" s="6" t="n"/>
      <c r="S1" s="6" t="n"/>
      <c r="T1" s="6" t="n"/>
    </row>
    <row r="2" ht="16" customHeight="1">
      <c r="A2" s="7" t="inlineStr">
        <is>
          <t>Client design: PPT s19 to s28, s53 to s66. Filter the Status column to see what can be built now.</t>
        </is>
      </c>
      <c r="B2" s="6" t="n"/>
      <c r="C2" s="6" t="n"/>
      <c r="D2" s="6" t="n"/>
      <c r="E2" s="6" t="n"/>
      <c r="F2" s="6" t="n"/>
      <c r="G2" s="6" t="n"/>
      <c r="H2" s="6" t="n"/>
      <c r="I2" s="6" t="n"/>
      <c r="J2" s="6" t="n"/>
      <c r="K2" s="6" t="n"/>
      <c r="L2" s="6" t="n"/>
      <c r="M2" s="6" t="n"/>
      <c r="N2" s="6" t="n"/>
      <c r="O2" s="6" t="n"/>
      <c r="P2" s="6" t="n"/>
      <c r="Q2" s="6" t="n"/>
      <c r="R2" s="6" t="n"/>
      <c r="S2" s="6" t="n"/>
      <c r="T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Report or file to open</t>
        </is>
      </c>
      <c r="H4" s="8" t="inlineStr">
        <is>
          <t>Step by step: how to get that file</t>
        </is>
      </c>
      <c r="I4" s="8" t="inlineStr">
        <is>
          <t>Exact column heading in that file</t>
        </is>
      </c>
      <c r="J4" s="8" t="inlineStr">
        <is>
          <t>How the number is worked out</t>
        </is>
      </c>
      <c r="K4" s="8" t="inlineStr">
        <is>
          <t>Database table</t>
        </is>
      </c>
      <c r="L4" s="8" t="inlineStr">
        <is>
          <t>Database column</t>
        </is>
      </c>
      <c r="M4" s="8" t="inlineStr">
        <is>
          <t>In the design?</t>
        </is>
      </c>
      <c r="N4" s="8" t="inlineStr">
        <is>
          <t>In the tenant today?</t>
        </is>
      </c>
      <c r="O4" s="8" t="inlineStr">
        <is>
          <t>Effort</t>
        </is>
      </c>
      <c r="P4" s="8" t="inlineStr">
        <is>
          <t>Status</t>
        </is>
      </c>
      <c r="Q4" s="8" t="inlineStr">
        <is>
          <t>Question to ask the client, and why</t>
        </is>
      </c>
      <c r="R4" s="8" t="inlineStr">
        <is>
          <t>Questions</t>
        </is>
      </c>
      <c r="S4" s="8" t="inlineStr">
        <is>
          <t>What we found</t>
        </is>
      </c>
      <c r="T4" s="8" t="inlineStr">
        <is>
          <t>FINAL REMARKS</t>
        </is>
      </c>
    </row>
    <row r="5">
      <c r="A5" s="9" t="n">
        <v>1</v>
      </c>
      <c r="B5" s="10" t="inlineStr">
        <is>
          <t>Scope</t>
        </is>
      </c>
      <c r="C5" s="10" t="inlineStr">
        <is>
          <t>Department picker</t>
        </is>
      </c>
      <c r="D5" s="10" t="inlineStr">
        <is>
          <t>Filter</t>
        </is>
      </c>
      <c r="E5" s="10" t="inlineStr">
        <is>
          <t>Every panel follows one department</t>
        </is>
      </c>
      <c r="F5" s="10" t="inlineStr">
        <is>
          <t>No source</t>
        </is>
      </c>
      <c r="G5" s="10" t="inlineStr">
        <is>
          <t>No file exists</t>
        </is>
      </c>
      <c r="H5" s="10" t="inlineStr">
        <is>
          <t>There is nothing to open. No system this report can reach holds this figure. See the question column for who to ask</t>
        </is>
      </c>
      <c r="I5" s="10" t="inlineStr">
        <is>
          <t>No department column exists in any Microsoft export</t>
        </is>
      </c>
      <c r="J5" s="10" t="inlineStr">
        <is>
          <t>Once RAC supply the list: match each site URL to its department, then every document inherits that department through its site. No per document lookup is needed</t>
        </is>
      </c>
      <c r="K5" s="10" t="inlineStr">
        <is>
          <t>2 Site Activity</t>
        </is>
      </c>
      <c r="L5" s="10" t="inlineStr">
        <is>
          <t>ADBDepartmentOwner</t>
        </is>
      </c>
      <c r="M5" s="10" t="inlineStr">
        <is>
          <t>Column exists, unpopulated</t>
        </is>
      </c>
      <c r="N5" s="10" t="inlineStr">
        <is>
          <t>No</t>
        </is>
      </c>
      <c r="O5" s="10" t="inlineStr">
        <is>
          <t>Easy</t>
        </is>
      </c>
      <c r="P5" s="12" t="inlineStr">
        <is>
          <t>Needs department list</t>
        </is>
      </c>
      <c r="Q5" s="10" t="inlineStr">
        <is>
          <t>Ask RAC for the site to department list, roughly 1,057 rows, one department per site URL. Check AvePoint Cloud Governance first, it may already hold it from the site request. Why: this single list unlocks every departmental figure in the report</t>
        </is>
      </c>
      <c r="R5" s="10" t="inlineStr"/>
      <c r="S5" s="10" t="inlineStr"/>
      <c r="T5" s="10" t="inlineStr"/>
    </row>
    <row r="6">
      <c r="A6" s="9" t="n">
        <v>2</v>
      </c>
      <c r="B6" s="10" t="inlineStr">
        <is>
          <t>Top panel</t>
        </is>
      </c>
      <c r="C6" s="10" t="inlineStr">
        <is>
          <t>Go-live date</t>
        </is>
      </c>
      <c r="D6" s="10" t="inlineStr">
        <is>
          <t>Label</t>
        </is>
      </c>
      <c r="E6" s="10" t="inlineStr">
        <is>
          <t>When the department started on EDRMS</t>
        </is>
      </c>
      <c r="F6" s="10" t="inlineStr">
        <is>
          <t>No source</t>
        </is>
      </c>
      <c r="G6" s="10" t="inlineStr">
        <is>
          <t>No file exists</t>
        </is>
      </c>
      <c r="H6" s="10" t="inlineStr">
        <is>
          <t>There is nothing to open. No system this report can reach holds this figure. See the question column for who to ask</t>
        </is>
      </c>
      <c r="I6" s="10" t="inlineStr">
        <is>
          <t>No column exists</t>
        </is>
      </c>
      <c r="J6" s="10" t="inlineStr">
        <is>
          <t>Cannot be worked out. A maintained list, one date per department</t>
        </is>
      </c>
      <c r="K6" s="10" t="inlineStr">
        <is>
          <t>None</t>
        </is>
      </c>
      <c r="L6" s="10" t="inlineStr">
        <is>
          <t>No column exists</t>
        </is>
      </c>
      <c r="M6" s="10" t="inlineStr">
        <is>
          <t>No</t>
        </is>
      </c>
      <c r="N6" s="10" t="inlineStr">
        <is>
          <t>No</t>
        </is>
      </c>
      <c r="O6" s="10" t="inlineStr">
        <is>
          <t>Blocked</t>
        </is>
      </c>
      <c r="P6" s="14" t="inlineStr">
        <is>
          <t>Needs reference list</t>
        </is>
      </c>
      <c r="Q6" s="10" t="inlineStr">
        <is>
          <t>Ask who maintains this list and where it will live. Why: it is not a measurement, nothing can generate it, and without an owner the panel stays empty</t>
        </is>
      </c>
      <c r="R6" s="10" t="inlineStr"/>
      <c r="S6" s="10" t="inlineStr"/>
      <c r="T6" s="10" t="inlineStr"/>
    </row>
    <row r="7">
      <c r="A7" s="9" t="n">
        <v>3</v>
      </c>
      <c r="B7" s="10" t="inlineStr">
        <is>
          <t>Top panel</t>
        </is>
      </c>
      <c r="C7" s="10" t="inlineStr">
        <is>
          <t>Sites, Users, Documents, Records, Counterparts, Due</t>
        </is>
      </c>
      <c r="D7" s="10" t="inlineStr">
        <is>
          <t>KPI</t>
        </is>
      </c>
      <c r="E7" s="10" t="inlineStr">
        <is>
          <t>The department's totals</t>
        </is>
      </c>
      <c r="F7" s="10" t="inlineStr">
        <is>
          <t>EDRMS database</t>
        </is>
      </c>
      <c r="G7" s="10" t="inlineStr">
        <is>
          <t>No single file. Computed from the tables above</t>
        </is>
      </c>
      <c r="H7" s="10" t="inlineStr">
        <is>
          <t>Produced by the refresh job from the sources above rather than read from one export. Verify it by checking the inputs named in the next two columns</t>
        </is>
      </c>
      <c r="I7" s="10" t="inlineStr">
        <is>
          <t>The same columns as Bank-wide: 'File Count', 'Storage Used (Byte)', the Records row count, the HasPhysical key and 'EDRMSDueDateForDisposal'</t>
        </is>
      </c>
      <c r="J7" s="10" t="inlineStr">
        <is>
          <t>Take each Bank-wide figure and add one filter: keep only the sites the RAC list assigns to this department. The arithmetic does not change, only the population</t>
        </is>
      </c>
      <c r="K7" s="10" t="inlineStr">
        <is>
          <t>1 Utilization Report, 2 Site Activity, 3 User Activity</t>
        </is>
      </c>
      <c r="L7" s="10" t="inlineStr">
        <is>
          <t>As Bank-wide, filtered</t>
        </is>
      </c>
      <c r="M7" s="10" t="inlineStr">
        <is>
          <t>Yes</t>
        </is>
      </c>
      <c r="N7" s="10" t="inlineStr">
        <is>
          <t>Partly</t>
        </is>
      </c>
      <c r="O7" s="10" t="inlineStr">
        <is>
          <t>Easy</t>
        </is>
      </c>
      <c r="P7" s="12" t="inlineStr">
        <is>
          <t>Needs department list</t>
        </is>
      </c>
      <c r="Q7" s="10" t="inlineStr">
        <is>
          <t>Ask RAC for the site to department list, roughly 1,057 rows, one department per site URL. Check AvePoint Cloud Governance first, it may already hold it from the site request. Why: this single list unlocks every departmental figure in the report</t>
        </is>
      </c>
      <c r="R7" s="10" t="inlineStr"/>
      <c r="S7" s="10" t="inlineStr"/>
      <c r="T7" s="10" t="inlineStr"/>
    </row>
    <row r="8">
      <c r="A8" s="9" t="n">
        <v>4</v>
      </c>
      <c r="B8" s="10" t="inlineStr">
        <is>
          <t>Top panel</t>
        </is>
      </c>
      <c r="C8" s="10" t="inlineStr">
        <is>
          <t>Sites Inactive over 90 Days</t>
        </is>
      </c>
      <c r="D8" s="10" t="inlineStr">
        <is>
          <t>KPI</t>
        </is>
      </c>
      <c r="E8" s="10" t="inlineStr">
        <is>
          <t>Idle sites in this department</t>
        </is>
      </c>
      <c r="F8" s="10" t="inlineStr">
        <is>
          <t>M365 usage report</t>
        </is>
      </c>
      <c r="G8" s="10" t="inlineStr">
        <is>
          <t>SharePoint site usage report, exported as CSV</t>
        </is>
      </c>
      <c r="H8"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8" s="10" t="inlineStr">
        <is>
          <t>'Last Activity Date' and 'Is Deleted'</t>
        </is>
      </c>
      <c r="J8" s="10" t="inlineStr">
        <is>
          <t>Filter to this department's sites, drop 'Is Deleted' True, then count those whose 'Last Activity Date' is more than 90 days before 'Report Refresh Date'</t>
        </is>
      </c>
      <c r="K8" s="10" t="inlineStr">
        <is>
          <t>2 Site Activity</t>
        </is>
      </c>
      <c r="L8" s="10" t="inlineStr">
        <is>
          <t>LastActivityDate</t>
        </is>
      </c>
      <c r="M8" s="10" t="inlineStr">
        <is>
          <t>Yes</t>
        </is>
      </c>
      <c r="N8" s="10" t="inlineStr">
        <is>
          <t>Yes</t>
        </is>
      </c>
      <c r="O8" s="10" t="inlineStr">
        <is>
          <t>Easy</t>
        </is>
      </c>
      <c r="P8" s="12" t="inlineStr">
        <is>
          <t>Needs department list</t>
        </is>
      </c>
      <c r="Q8" s="10" t="inlineStr">
        <is>
          <t>Ask whether an inactive site is 90 days or 300. The deck says 90, the metrics document says 300. Why: it changes every inactivity figure, and it is a one line change either way</t>
        </is>
      </c>
      <c r="R8" s="10" t="inlineStr"/>
      <c r="S8" s="10" t="inlineStr"/>
      <c r="T8" s="10" t="inlineStr"/>
    </row>
    <row r="9">
      <c r="A9" s="9" t="n">
        <v>5</v>
      </c>
      <c r="B9" s="10" t="inlineStr">
        <is>
          <t>Users</t>
        </is>
      </c>
      <c r="C9" s="10" t="inlineStr">
        <is>
          <t>Active users by division</t>
        </is>
      </c>
      <c r="D9" s="10" t="inlineStr">
        <is>
          <t>Table</t>
        </is>
      </c>
      <c r="E9" s="10" t="inlineStr">
        <is>
          <t>Adoption inside the department</t>
        </is>
      </c>
      <c r="F9" s="10" t="inlineStr">
        <is>
          <t>No source</t>
        </is>
      </c>
      <c r="G9" s="10" t="inlineStr">
        <is>
          <t>No file exists</t>
        </is>
      </c>
      <c r="H9" s="10" t="inlineStr">
        <is>
          <t>There is nothing to open. No system this report can reach holds this figure. See the question column for who to ask</t>
        </is>
      </c>
      <c r="I9" s="10" t="inlineStr">
        <is>
          <t>'User Principal Name' exists, but nothing carries a division</t>
        </is>
      </c>
      <c r="J9" s="10" t="inlineStr">
        <is>
          <t>The user count is COUNT(DISTINCT 'User Principal Name') where 'Viewed Or Edited File Count' is above zero. Splitting it by division cannot be done, because no division exists</t>
        </is>
      </c>
      <c r="K9" s="10" t="inlineStr">
        <is>
          <t>3 User Activity</t>
        </is>
      </c>
      <c r="L9" s="10" t="inlineStr">
        <is>
          <t>UserPrincipalName</t>
        </is>
      </c>
      <c r="M9" s="10" t="inlineStr">
        <is>
          <t>Division does not exist</t>
        </is>
      </c>
      <c r="N9" s="10" t="inlineStr">
        <is>
          <t>No</t>
        </is>
      </c>
      <c r="O9" s="10" t="inlineStr">
        <is>
          <t>Easy once supplied</t>
        </is>
      </c>
      <c r="P9" s="13" t="inlineStr">
        <is>
          <t>Needs new data source</t>
        </is>
      </c>
      <c r="Q9" s="10" t="inlineStr">
        <is>
          <t>Ask who supplies division alongside department. Why: the tier was reinstated at the client's request but nothing in the tenant populates it, so the RAC list has to carry a division column too</t>
        </is>
      </c>
      <c r="R9" s="10" t="inlineStr"/>
      <c r="S9" s="10" t="inlineStr"/>
      <c r="T9" s="10" t="inlineStr"/>
    </row>
    <row r="10">
      <c r="A10" s="9" t="n">
        <v>6</v>
      </c>
      <c r="B10" s="10" t="inlineStr">
        <is>
          <t>Users</t>
        </is>
      </c>
      <c r="C10" s="10" t="inlineStr">
        <is>
          <t>Staff, Contractors, Consultants, Training</t>
        </is>
      </c>
      <c r="D10" s="10" t="inlineStr">
        <is>
          <t>Table column</t>
        </is>
      </c>
      <c r="E10" s="10" t="inlineStr">
        <is>
          <t>Employment class</t>
        </is>
      </c>
      <c r="F10" s="10" t="inlineStr">
        <is>
          <t>No source</t>
        </is>
      </c>
      <c r="G10" s="10" t="inlineStr">
        <is>
          <t>No file exists</t>
        </is>
      </c>
      <c r="H10" s="10" t="inlineStr">
        <is>
          <t>There is nothing to open. No system this report can reach holds this figure. See the question column for who to ask</t>
        </is>
      </c>
      <c r="I10" s="10" t="inlineStr">
        <is>
          <t>'Assigned Products' gives the licence name only, not an employment type</t>
        </is>
      </c>
      <c r="J10" s="10" t="inlineStr">
        <is>
          <t>Cannot be worked out from any Microsoft export. Needs an HR or LMS extract joined on 'User Principal Name'</t>
        </is>
      </c>
      <c r="K10" s="10" t="inlineStr">
        <is>
          <t>None</t>
        </is>
      </c>
      <c r="L10" s="10" t="inlineStr">
        <is>
          <t>No column exists</t>
        </is>
      </c>
      <c r="M10" s="10" t="inlineStr">
        <is>
          <t>No</t>
        </is>
      </c>
      <c r="N10" s="10" t="inlineStr">
        <is>
          <t>No</t>
        </is>
      </c>
      <c r="O10" s="10" t="inlineStr">
        <is>
          <t>Blocked</t>
        </is>
      </c>
      <c r="P10" s="13" t="inlineStr">
        <is>
          <t>Needs new data source</t>
        </is>
      </c>
      <c r="Q10" s="10" t="inlineStr">
        <is>
          <t>Ask which system owns staff, contractor and consultant classification and training completion. The client asks the same question on their own slide 54. Why: nothing in SharePoint holds it</t>
        </is>
      </c>
      <c r="R10" s="10" t="inlineStr"/>
      <c r="S10" s="10" t="inlineStr"/>
      <c r="T10" s="10" t="inlineStr"/>
    </row>
    <row r="11">
      <c r="A11" s="9" t="n">
        <v>7</v>
      </c>
      <c r="B11" s="10" t="inlineStr">
        <is>
          <t>Visitors</t>
        </is>
      </c>
      <c r="C11" s="10" t="inlineStr">
        <is>
          <t>Visitors per site</t>
        </is>
      </c>
      <c r="D11" s="10" t="inlineStr">
        <is>
          <t>Table</t>
        </is>
      </c>
      <c r="E11" s="10" t="inlineStr">
        <is>
          <t>People opening content in each site</t>
        </is>
      </c>
      <c r="F11" s="10" t="inlineStr">
        <is>
          <t>Microsoft Graph</t>
        </is>
      </c>
      <c r="G11" s="10" t="inlineStr">
        <is>
          <t>Microsoft Graph, run interactively</t>
        </is>
      </c>
      <c r="H11" s="10" t="inlineStr">
        <is>
          <t>1. Go to https://aka.ms/ge, the Graph Explorer
2. Sign in with a tenant account and consent to the scope named in the next column
3. Paste the call from the Exact column heading cell into the address bar and click Run query
4. Read the field named in that same cell out of the JSON response</t>
        </is>
      </c>
      <c r="I11" s="10" t="inlineStr">
        <is>
          <t>GET /sites/{siteId}/analytics/allTime, then the actorCount field. Also /analytics/lastSevenDays for the 7 day window</t>
        </is>
      </c>
      <c r="J11" s="10" t="inlineStr">
        <is>
          <t>actorCount is the number of distinct people. Confirmed against the tenant, which returned actionCount 5535 and actorCount 12 on a test site. Only these TWO windows exist, all time and seven days. There is no 30 or 90 day window, so do not promise a monthly visitor figure</t>
        </is>
      </c>
      <c r="K11" s="10" t="inlineStr">
        <is>
          <t>2 Site Activity</t>
        </is>
      </c>
      <c r="L11" s="10" t="inlineStr">
        <is>
          <t>UniqueViewers7, UniqueViewersAllTime</t>
        </is>
      </c>
      <c r="M11" s="10" t="inlineStr">
        <is>
          <t>Yes</t>
        </is>
      </c>
      <c r="N11" s="10" t="inlineStr">
        <is>
          <t>Yes</t>
        </is>
      </c>
      <c r="O11" s="10" t="inlineStr">
        <is>
          <t>Easy</t>
        </is>
      </c>
      <c r="P11" s="11" t="inlineStr">
        <is>
          <t>Buildable now</t>
        </is>
      </c>
      <c r="Q11" s="10" t="inlineStr">
        <is>
          <t>Warn the client only 7 day and all time windows exist. Why: their slide implies a monthly figure</t>
        </is>
      </c>
      <c r="R11" s="10" t="inlineStr"/>
      <c r="S11" s="10" t="inlineStr"/>
      <c r="T11" s="10" t="inlineStr"/>
    </row>
    <row r="12">
      <c r="A12" s="9" t="n">
        <v>8</v>
      </c>
      <c r="B12" s="10" t="inlineStr">
        <is>
          <t>Visitors</t>
        </is>
      </c>
      <c r="C12" s="10" t="inlineStr">
        <is>
          <t>Internal against external visitors</t>
        </is>
      </c>
      <c r="D12" s="10" t="inlineStr">
        <is>
          <t>Table column</t>
        </is>
      </c>
      <c r="E12" s="10" t="inlineStr">
        <is>
          <t>Where visitors come from</t>
        </is>
      </c>
      <c r="F12" s="10" t="inlineStr">
        <is>
          <t>No source</t>
        </is>
      </c>
      <c r="G12" s="10" t="inlineStr">
        <is>
          <t>No file exists</t>
        </is>
      </c>
      <c r="H12" s="10" t="inlineStr">
        <is>
          <t>There is nothing to open. No system this report can reach holds this figure. See the question column for who to ask</t>
        </is>
      </c>
      <c r="I12" s="10" t="inlineStr">
        <is>
          <t>Graph analytics returns actorCount with no internal or external split</t>
        </is>
      </c>
      <c r="J12" s="10" t="inlineStr">
        <is>
          <t>Cannot be worked out. The count is a single number with no breakdown</t>
        </is>
      </c>
      <c r="K12" s="10" t="inlineStr">
        <is>
          <t>2 Site Activity</t>
        </is>
      </c>
      <c r="L12" s="10" t="inlineStr">
        <is>
          <t>No column exists</t>
        </is>
      </c>
      <c r="M12" s="10" t="inlineStr">
        <is>
          <t>No</t>
        </is>
      </c>
      <c r="N12" s="10" t="inlineStr">
        <is>
          <t>No</t>
        </is>
      </c>
      <c r="O12" s="10" t="inlineStr">
        <is>
          <t>Blocked</t>
        </is>
      </c>
      <c r="P12" s="13" t="inlineStr">
        <is>
          <t>Needs new data source</t>
        </is>
      </c>
      <c r="Q12" s="10" t="inlineStr">
        <is>
          <t>Ask whether audit log access can be granted, and confirm the purpose. Why: access requests, external sharing and permission exceptions live in the audit log, a different Graph surface with a different permission set</t>
        </is>
      </c>
      <c r="R12" s="10" t="inlineStr"/>
      <c r="S12" s="10" t="inlineStr"/>
      <c r="T12" s="10" t="inlineStr"/>
    </row>
    <row r="13">
      <c r="A13" s="9" t="n">
        <v>9</v>
      </c>
      <c r="B13" s="10" t="inlineStr">
        <is>
          <t>Visitors</t>
        </is>
      </c>
      <c r="C13" s="10" t="inlineStr">
        <is>
          <t>Access requests granted and declined</t>
        </is>
      </c>
      <c r="D13" s="10" t="inlineStr">
        <is>
          <t>Table column</t>
        </is>
      </c>
      <c r="E13" s="10" t="inlineStr">
        <is>
          <t>Permission requests</t>
        </is>
      </c>
      <c r="F13" s="10" t="inlineStr">
        <is>
          <t>No source</t>
        </is>
      </c>
      <c r="G13" s="10" t="inlineStr">
        <is>
          <t>No file exists</t>
        </is>
      </c>
      <c r="H13" s="10" t="inlineStr">
        <is>
          <t>There is nothing to open. No system this report can reach holds this figure. See the question column for who to ask</t>
        </is>
      </c>
      <c r="I13" s="10" t="inlineStr">
        <is>
          <t>No column in either export</t>
        </is>
      </c>
      <c r="J13" s="10" t="inlineStr">
        <is>
          <t>Cannot be worked out. Audit log data</t>
        </is>
      </c>
      <c r="K13" s="10" t="inlineStr">
        <is>
          <t>None</t>
        </is>
      </c>
      <c r="L13" s="10" t="inlineStr">
        <is>
          <t>No column exists</t>
        </is>
      </c>
      <c r="M13" s="10" t="inlineStr">
        <is>
          <t>No</t>
        </is>
      </c>
      <c r="N13" s="10" t="inlineStr">
        <is>
          <t>No</t>
        </is>
      </c>
      <c r="O13" s="10" t="inlineStr">
        <is>
          <t>Blocked</t>
        </is>
      </c>
      <c r="P13" s="13" t="inlineStr">
        <is>
          <t>Needs new data source</t>
        </is>
      </c>
      <c r="Q13" s="10" t="inlineStr">
        <is>
          <t>Ask whether audit log access can be granted, and confirm the purpose. Why: access requests, external sharing and permission exceptions live in the audit log, a different Graph surface with a different permission set</t>
        </is>
      </c>
      <c r="R13" s="10" t="inlineStr"/>
      <c r="S13" s="10" t="inlineStr"/>
      <c r="T13" s="10" t="inlineStr"/>
    </row>
    <row r="14">
      <c r="A14" s="9" t="n">
        <v>10</v>
      </c>
      <c r="B14" s="10" t="inlineStr">
        <is>
          <t>Sites</t>
        </is>
      </c>
      <c r="C14" s="10" t="inlineStr">
        <is>
          <t>Site list with owners</t>
        </is>
      </c>
      <c r="D14" s="10" t="inlineStr">
        <is>
          <t>Table</t>
        </is>
      </c>
      <c r="E14" s="10" t="inlineStr">
        <is>
          <t>Every site the department owns</t>
        </is>
      </c>
      <c r="F14" s="10" t="inlineStr">
        <is>
          <t>M365 usage report</t>
        </is>
      </c>
      <c r="G14" s="10" t="inlineStr">
        <is>
          <t>SharePoint site usage report, exported as CSV</t>
        </is>
      </c>
      <c r="H14"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14" s="10" t="inlineStr">
        <is>
          <t>'Site Id', 'Owner Principal Name', 'Owner Display Name'</t>
        </is>
      </c>
      <c r="J14" s="10" t="inlineStr">
        <is>
          <t>List the department's sites and read the owner from 'Owner Principal Name'. It is filled on 1,899 of the 1,918 live sites, so a few rows will legitimately show no owner. The 'Site URL' column is EMPTY on every row, so match 'Site Id' to a Graph site list to get the address</t>
        </is>
      </c>
      <c r="K14" s="10" t="inlineStr">
        <is>
          <t>2 Site Activity</t>
        </is>
      </c>
      <c r="L14" s="10" t="inlineStr">
        <is>
          <t>SiteName, SiteOwner, SiteUrl</t>
        </is>
      </c>
      <c r="M14" s="10" t="inlineStr">
        <is>
          <t>Yes</t>
        </is>
      </c>
      <c r="N14" s="10" t="inlineStr">
        <is>
          <t>Partly</t>
        </is>
      </c>
      <c r="O14" s="10" t="inlineStr">
        <is>
          <t>Easy</t>
        </is>
      </c>
      <c r="P14" s="12" t="inlineStr">
        <is>
          <t>Needs department list</t>
        </is>
      </c>
      <c r="Q14" s="10" t="inlineStr">
        <is>
          <t>Ask RAC for the site to department list, roughly 1,057 rows, one department per site URL. Check AvePoint Cloud Governance first, it may already hold it from the site request. Why: this single list unlocks every departmental figure in the report</t>
        </is>
      </c>
      <c r="R14" s="10" t="inlineStr"/>
      <c r="S14" s="10" t="inlineStr"/>
      <c r="T14" s="10" t="inlineStr"/>
    </row>
    <row r="15">
      <c r="A15" s="9" t="n">
        <v>11</v>
      </c>
      <c r="B15" s="10" t="inlineStr">
        <is>
          <t>Sites</t>
        </is>
      </c>
      <c r="C15" s="10" t="inlineStr">
        <is>
          <t>Documents, records, counterparts, due per site</t>
        </is>
      </c>
      <c r="D15" s="10" t="inlineStr">
        <is>
          <t>Table column</t>
        </is>
      </c>
      <c r="E15" s="10" t="inlineStr">
        <is>
          <t>What each site holds</t>
        </is>
      </c>
      <c r="F15" s="10" t="inlineStr">
        <is>
          <t>EDRMS database</t>
        </is>
      </c>
      <c r="G15" s="10" t="inlineStr">
        <is>
          <t>No single file. Computed from the tables above</t>
        </is>
      </c>
      <c r="H15" s="10" t="inlineStr">
        <is>
          <t>Produced by the refresh job from the sources above rather than read from one export. Verify it by checking the inputs named in the next two columns</t>
        </is>
      </c>
      <c r="I15" s="10" t="inlineStr">
        <is>
          <t>'File Count' from the usage export, and the Records table grouped by SiteUrl</t>
        </is>
      </c>
      <c r="J15" s="10" t="inlineStr">
        <is>
          <t>Documents come from 'File Count' on the site row. Records, counterparts and due dates come from the Records table grouped by SiteUrl. The site rows must sum to the department total</t>
        </is>
      </c>
      <c r="K15" s="10" t="inlineStr">
        <is>
          <t>1 Utilization Report</t>
        </is>
      </c>
      <c r="L15" s="10" t="inlineStr">
        <is>
          <t>SiteUrl, IsDeclaredRecord, HasPhysical</t>
        </is>
      </c>
      <c r="M15" s="10" t="inlineStr">
        <is>
          <t>Yes</t>
        </is>
      </c>
      <c r="N15" s="10" t="inlineStr">
        <is>
          <t>Partly</t>
        </is>
      </c>
      <c r="O15" s="10" t="inlineStr">
        <is>
          <t>Easy</t>
        </is>
      </c>
      <c r="P15" s="12" t="inlineStr">
        <is>
          <t>Needs department list</t>
        </is>
      </c>
      <c r="Q15" s="10" t="inlineStr">
        <is>
          <t>Ask RAC for the site to department list, roughly 1,057 rows, one department per site URL. Check AvePoint Cloud Governance first, it may already hold it from the site request. Why: this single list unlocks every departmental figure in the report</t>
        </is>
      </c>
      <c r="R15" s="10" t="inlineStr"/>
      <c r="S15" s="10" t="inlineStr"/>
      <c r="T15" s="10" t="inlineStr"/>
    </row>
    <row r="16">
      <c r="A16" s="9" t="n">
        <v>12</v>
      </c>
      <c r="B16" s="10" t="inlineStr">
        <is>
          <t>Sites</t>
        </is>
      </c>
      <c r="C16" s="10" t="inlineStr">
        <is>
          <t>No activity in 90 days</t>
        </is>
      </c>
      <c r="D16" s="10" t="inlineStr">
        <is>
          <t>Table column</t>
        </is>
      </c>
      <c r="E16" s="10" t="inlineStr">
        <is>
          <t>Sites that have gone quiet</t>
        </is>
      </c>
      <c r="F16" s="10" t="inlineStr">
        <is>
          <t>M365 usage report</t>
        </is>
      </c>
      <c r="G16" s="10" t="inlineStr">
        <is>
          <t>SharePoint site usage report, exported as CSV</t>
        </is>
      </c>
      <c r="H16"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16" s="10" t="inlineStr">
        <is>
          <t>'Last Activity Date'</t>
        </is>
      </c>
      <c r="J16" s="10" t="inlineStr">
        <is>
          <t>Mark the row if 'Last Activity Date' is more than 90 days before 'Report Refresh Date'. Derived in the report, never stored, so the threshold is one edit to change</t>
        </is>
      </c>
      <c r="K16" s="10" t="inlineStr">
        <is>
          <t>2 Site Activity</t>
        </is>
      </c>
      <c r="L16" s="10" t="inlineStr">
        <is>
          <t>LastActivityDate</t>
        </is>
      </c>
      <c r="M16" s="10" t="inlineStr">
        <is>
          <t>Yes</t>
        </is>
      </c>
      <c r="N16" s="10" t="inlineStr">
        <is>
          <t>Yes</t>
        </is>
      </c>
      <c r="O16" s="10" t="inlineStr">
        <is>
          <t>Easy</t>
        </is>
      </c>
      <c r="P16" s="11" t="inlineStr">
        <is>
          <t>Buildable now</t>
        </is>
      </c>
      <c r="Q16" s="10" t="inlineStr">
        <is>
          <t>Ask whether an inactive site is 90 days or 300. The deck says 90, the metrics document says 300. Why: it changes every inactivity figure, and it is a one line change either way</t>
        </is>
      </c>
      <c r="R16" s="10" t="inlineStr"/>
      <c r="S16" s="10" t="inlineStr"/>
      <c r="T16" s="10" t="inlineStr"/>
    </row>
    <row r="17">
      <c r="A17" s="9" t="n">
        <v>13</v>
      </c>
      <c r="B17" s="10" t="inlineStr">
        <is>
          <t>Documents</t>
        </is>
      </c>
      <c r="C17" s="10" t="inlineStr">
        <is>
          <t>Documents, storage, users creating</t>
        </is>
      </c>
      <c r="D17" s="10" t="inlineStr">
        <is>
          <t>Table</t>
        </is>
      </c>
      <c r="E17" s="10" t="inlineStr">
        <is>
          <t>Content produced per site</t>
        </is>
      </c>
      <c r="F17" s="10" t="inlineStr">
        <is>
          <t>M365 usage report</t>
        </is>
      </c>
      <c r="G17" s="10" t="inlineStr">
        <is>
          <t>SharePoint site usage report, exported as CSV</t>
        </is>
      </c>
      <c r="H17" s="10" t="inlineStr">
        <is>
          <t>1. Go to https://admin.microsoft.com/#/reportsUsage/SharePointSiteUsage
   (tenant independent URL: signing in as an ADB reports reader gives ADB figures)
2. Sign in as a Microsoft 365 reports reader or global reader
3. Set the period selector to 30 days
4. Click Export, top right. A CSV downloads, named like SharePointSiteUsageDetail_2026-08-12.csv
5. Open it in Excel. It has 23 columns and one row per site, 2,575 rows in the test tenant
6. WARNING: the Site URL column is EMPTY on every row. Use Site Id and match it to a site list from Graph if you need the address</t>
        </is>
      </c>
      <c r="I17" s="10" t="inlineStr">
        <is>
          <t>'File Count' and 'Storage Used (Byte)'</t>
        </is>
      </c>
      <c r="J17" s="10" t="inlineStr">
        <is>
          <t>Sum both per site. Divide bytes by 1,073,741,824 for GB. Users creating cannot be produced for undeclared documents, because no export carries an author</t>
        </is>
      </c>
      <c r="K17" s="10" t="inlineStr">
        <is>
          <t>1 Utilization Report</t>
        </is>
      </c>
      <c r="L17" s="10" t="inlineStr">
        <is>
          <t>FileCreatedDate, FileSize, CreatedBy</t>
        </is>
      </c>
      <c r="M17" s="10" t="inlineStr">
        <is>
          <t>Partly</t>
        </is>
      </c>
      <c r="N17" s="10" t="inlineStr">
        <is>
          <t>Partly</t>
        </is>
      </c>
      <c r="O17" s="10" t="inlineStr">
        <is>
          <t>Medium</t>
        </is>
      </c>
      <c r="P17" s="12" t="inlineStr">
        <is>
          <t>Needs department list</t>
        </is>
      </c>
      <c r="Q17" s="10" t="inlineStr">
        <is>
          <t>Ask RAC for the site to department list, roughly 1,057 rows, one department per site URL. Check AvePoint Cloud Governance first, it may already hold it from the site request. Why: this single list unlocks every departmental figure in the report</t>
        </is>
      </c>
      <c r="R17" s="10" t="inlineStr"/>
      <c r="S17" s="10" t="inlineStr"/>
      <c r="T17" s="10" t="inlineStr"/>
    </row>
    <row r="18">
      <c r="A18" s="9" t="n">
        <v>14</v>
      </c>
      <c r="B18" s="10" t="inlineStr">
        <is>
          <t>Declaration</t>
        </is>
      </c>
      <c r="C18" s="10" t="inlineStr">
        <is>
          <t>Records declared and rate per site</t>
        </is>
      </c>
      <c r="D18" s="10" t="inlineStr">
        <is>
          <t>Table</t>
        </is>
      </c>
      <c r="E18" s="10" t="inlineStr">
        <is>
          <t>Declaration performance</t>
        </is>
      </c>
      <c r="F18" s="10" t="inlineStr">
        <is>
          <t>EDRMS database</t>
        </is>
      </c>
      <c r="G18" s="10" t="inlineStr">
        <is>
          <t>No single file. Computed from the tables above</t>
        </is>
      </c>
      <c r="H18" s="10" t="inlineStr">
        <is>
          <t>Produced by the refresh job from the sources above rather than read from one export. Verify it by checking the inputs named in the next two columns</t>
        </is>
      </c>
      <c r="I18" s="10" t="inlineStr">
        <is>
          <t>The Records row count per SiteUrl, over 'File Count' from the usage export</t>
        </is>
      </c>
      <c r="J18" s="10" t="inlineStr">
        <is>
          <t>Rate is records declared divided by documents held, times 100, per site. The numerator is the Records table, the denominator the usage export until the scan exists</t>
        </is>
      </c>
      <c r="K18" s="10" t="inlineStr">
        <is>
          <t>1 Utilization Report</t>
        </is>
      </c>
      <c r="L18" s="10" t="inlineStr">
        <is>
          <t>IsDeclaredRecord, SiteUrl</t>
        </is>
      </c>
      <c r="M18" s="10" t="inlineStr">
        <is>
          <t>Yes</t>
        </is>
      </c>
      <c r="N18" s="10" t="inlineStr">
        <is>
          <t>Partly</t>
        </is>
      </c>
      <c r="O18" s="10" t="inlineStr">
        <is>
          <t>Easy</t>
        </is>
      </c>
      <c r="P18" s="12" t="inlineStr">
        <is>
          <t>Needs department list</t>
        </is>
      </c>
      <c r="Q18" s="10" t="inlineStr">
        <is>
          <t>Ask RAC for the site to department list, roughly 1,057 rows, one department per site URL. Check AvePoint Cloud Governance first, it may already hold it from the site request. Why: this single list unlocks every departmental figure in the report</t>
        </is>
      </c>
      <c r="R18" s="10" t="inlineStr"/>
      <c r="S18" s="10" t="inlineStr"/>
      <c r="T18" s="10" t="inlineStr"/>
    </row>
    <row r="19">
      <c r="A19" s="9" t="n">
        <v>15</v>
      </c>
      <c r="B19" s="10" t="inlineStr">
        <is>
          <t>Declaration</t>
        </is>
      </c>
      <c r="C19" s="10" t="inlineStr">
        <is>
          <t>Division rows under each site</t>
        </is>
      </c>
      <c r="D19" s="10" t="inlineStr">
        <is>
          <t>Drill tier</t>
        </is>
      </c>
      <c r="E19" s="10" t="inlineStr">
        <is>
          <t>The same figures per division</t>
        </is>
      </c>
      <c r="F19" s="10" t="inlineStr">
        <is>
          <t>No source</t>
        </is>
      </c>
      <c r="G19" s="10" t="inlineStr">
        <is>
          <t>No file exists</t>
        </is>
      </c>
      <c r="H19" s="10" t="inlineStr">
        <is>
          <t>There is nothing to open. No system this report can reach holds this figure. See the question column for who to ask</t>
        </is>
      </c>
      <c r="I19" s="10" t="inlineStr">
        <is>
          <t>No division column exists anywhere</t>
        </is>
      </c>
      <c r="J19" s="10" t="inlineStr">
        <is>
          <t>Cannot be worked out until the RAC list carries a division</t>
        </is>
      </c>
      <c r="K19" s="10" t="inlineStr">
        <is>
          <t>1 Utilization Report</t>
        </is>
      </c>
      <c r="L19" s="10" t="inlineStr">
        <is>
          <t>No division column exists</t>
        </is>
      </c>
      <c r="M19" s="10" t="inlineStr">
        <is>
          <t>No</t>
        </is>
      </c>
      <c r="N19" s="10" t="inlineStr">
        <is>
          <t>No</t>
        </is>
      </c>
      <c r="O19" s="10" t="inlineStr">
        <is>
          <t>Easy once supplied</t>
        </is>
      </c>
      <c r="P19" s="13" t="inlineStr">
        <is>
          <t>Needs new data source</t>
        </is>
      </c>
      <c r="Q19" s="10" t="inlineStr">
        <is>
          <t>Ask who supplies division alongside department. Why: the tier was reinstated at the client's request but nothing in the tenant populates it, so the RAC list has to carry a division column too</t>
        </is>
      </c>
      <c r="R19" s="10" t="inlineStr"/>
      <c r="S19" s="10" t="inlineStr"/>
      <c r="T19" s="10" t="inlineStr"/>
    </row>
    <row r="20">
      <c r="A20" s="9" t="n">
        <v>16</v>
      </c>
      <c r="B20" s="10" t="inlineStr">
        <is>
          <t>Declaration</t>
        </is>
      </c>
      <c r="C20" s="10" t="inlineStr">
        <is>
          <t>Declaration donut and site ranking</t>
        </is>
      </c>
      <c r="D20" s="10" t="inlineStr">
        <is>
          <t>Chart</t>
        </is>
      </c>
      <c r="E20" s="10" t="inlineStr">
        <is>
          <t>Declared against everything held</t>
        </is>
      </c>
      <c r="F20" s="10" t="inlineStr">
        <is>
          <t>EDRMS database</t>
        </is>
      </c>
      <c r="G20" s="10" t="inlineStr">
        <is>
          <t>No single file. Computed from the tables above</t>
        </is>
      </c>
      <c r="H20" s="10" t="inlineStr">
        <is>
          <t>Produced by the refresh job from the sources above rather than read from one export. Verify it by checking the inputs named in the next two columns</t>
        </is>
      </c>
      <c r="I20" s="10" t="inlineStr">
        <is>
          <t>The Records count, and 'File Count'</t>
        </is>
      </c>
      <c r="J20" s="10" t="inlineStr">
        <is>
          <t>Two slices: declared records, and documents minus declared records. The ranking is the same counts ordered highest first</t>
        </is>
      </c>
      <c r="K20" s="10" t="inlineStr">
        <is>
          <t>1 Utilization Report</t>
        </is>
      </c>
      <c r="L20" s="10" t="inlineStr">
        <is>
          <t>IsDeclaredRecord</t>
        </is>
      </c>
      <c r="M20" s="10" t="inlineStr">
        <is>
          <t>Yes</t>
        </is>
      </c>
      <c r="N20" s="10" t="inlineStr">
        <is>
          <t>Partly</t>
        </is>
      </c>
      <c r="O20" s="10" t="inlineStr">
        <is>
          <t>Easy</t>
        </is>
      </c>
      <c r="P20" s="12" t="inlineStr">
        <is>
          <t>Needs department list</t>
        </is>
      </c>
      <c r="Q20" s="10" t="inlineStr">
        <is>
          <t>Ask RAC for the site to department list, roughly 1,057 rows, one department per site URL. Check AvePoint Cloud Governance first, it may already hold it from the site request. Why: this single list unlocks every departmental figure in the report</t>
        </is>
      </c>
      <c r="R20" s="10" t="inlineStr"/>
      <c r="S20" s="10" t="inlineStr"/>
      <c r="T20" s="10" t="inlineStr"/>
    </row>
    <row r="21">
      <c r="A21" s="9" t="n">
        <v>17</v>
      </c>
      <c r="B21" s="10" t="inlineStr">
        <is>
          <t>Library usage</t>
        </is>
      </c>
      <c r="C21" s="10" t="inlineStr">
        <is>
          <t>Libraries by file plan category</t>
        </is>
      </c>
      <c r="D21" s="10" t="inlineStr">
        <is>
          <t>Table</t>
        </is>
      </c>
      <c r="E21" s="10" t="inlineStr">
        <is>
          <t>Content by classification</t>
        </is>
      </c>
      <c r="F21" s="10" t="inlineStr">
        <is>
          <t>No source</t>
        </is>
      </c>
      <c r="G21" s="10" t="inlineStr">
        <is>
          <t>No file exists</t>
        </is>
      </c>
      <c r="H21" s="10" t="inlineStr">
        <is>
          <t>There is nothing to open. No system this report can reach holds this figure. See the question column for who to ask</t>
        </is>
      </c>
      <c r="I21" s="10" t="inlineStr">
        <is>
          <t>'LibraryName' and 'ListId' exist on Records, but nothing maps a library to a term</t>
        </is>
      </c>
      <c r="J21" s="10" t="inlineStr">
        <is>
          <t>The library counts are producible by grouping Records on ListId. Grouping those under a file plan category is not, because no column links a library to a term</t>
        </is>
      </c>
      <c r="K21" s="10" t="inlineStr">
        <is>
          <t>1 Utilization Report and 4 File Plan</t>
        </is>
      </c>
      <c r="L21" s="10" t="inlineStr">
        <is>
          <t>LibraryName, ListId, CategoryName</t>
        </is>
      </c>
      <c r="M21" s="10" t="inlineStr">
        <is>
          <t>No join exists</t>
        </is>
      </c>
      <c r="N21" s="10" t="inlineStr">
        <is>
          <t>No</t>
        </is>
      </c>
      <c r="O21" s="10" t="inlineStr">
        <is>
          <t>Blocked</t>
        </is>
      </c>
      <c r="P21" s="15" t="inlineStr">
        <is>
          <t>Needs new column or join</t>
        </is>
      </c>
      <c r="Q21" s="10" t="inlineStr">
        <is>
          <t>Ask where the institutional file plan actually lives. It is in neither the term store, which holds 6 dropdown value sets and 16 terms one level deep, nor Purview, which holds 53 flat retention labels. Why: a whole dashboard waits on the answer. Also Ask the development team to add a term reference to the document row, or supply a term to library mapping list. Why: nothing links a term to a document, so no per term figure can be produced even once the file plan is located</t>
        </is>
      </c>
      <c r="R21" s="10" t="inlineStr"/>
      <c r="S21" s="10" t="inlineStr"/>
      <c r="T21" s="10" t="inlineStr"/>
    </row>
    <row r="22">
      <c r="A22" s="9" t="n">
        <v>18</v>
      </c>
      <c r="B22" s="10" t="inlineStr">
        <is>
          <t>Library usage</t>
        </is>
      </c>
      <c r="C22" s="10" t="inlineStr">
        <is>
          <t>Users per library</t>
        </is>
      </c>
      <c r="D22" s="10" t="inlineStr">
        <is>
          <t>Table column</t>
        </is>
      </c>
      <c r="E22" s="10" t="inlineStr">
        <is>
          <t>People working in each library</t>
        </is>
      </c>
      <c r="F22" s="10" t="inlineStr">
        <is>
          <t>No source</t>
        </is>
      </c>
      <c r="G22" s="10" t="inlineStr">
        <is>
          <t>No file exists</t>
        </is>
      </c>
      <c r="H22" s="10" t="inlineStr">
        <is>
          <t>There is nothing to open. No system this report can reach holds this figure. See the question column for who to ask</t>
        </is>
      </c>
      <c r="I22" s="10" t="inlineStr">
        <is>
          <t>No export reports below site level</t>
        </is>
      </c>
      <c r="J22" s="10" t="inlineStr">
        <is>
          <t>Cannot be worked out. Viewer counts are per site, never per library</t>
        </is>
      </c>
      <c r="K22" s="10" t="inlineStr">
        <is>
          <t>None</t>
        </is>
      </c>
      <c r="L22" s="10" t="inlineStr">
        <is>
          <t>No column exists</t>
        </is>
      </c>
      <c r="M22" s="10" t="inlineStr">
        <is>
          <t>No</t>
        </is>
      </c>
      <c r="N22" s="10" t="inlineStr">
        <is>
          <t>No</t>
        </is>
      </c>
      <c r="O22" s="10" t="inlineStr">
        <is>
          <t>Blocked</t>
        </is>
      </c>
      <c r="P22" s="13" t="inlineStr">
        <is>
          <t>Needs new data source</t>
        </is>
      </c>
      <c r="Q22" s="10" t="inlineStr">
        <is>
          <t>Tell the client this is not available at library grain. Why: Microsoft exposes no per library viewer feed</t>
        </is>
      </c>
      <c r="R22" s="10" t="inlineStr"/>
      <c r="S22" s="10" t="inlineStr"/>
      <c r="T22" s="10" t="inlineStr"/>
    </row>
    <row r="23">
      <c r="A23" s="9" t="n">
        <v>19</v>
      </c>
      <c r="B23" s="10" t="inlineStr">
        <is>
          <t>Trend</t>
        </is>
      </c>
      <c r="C23" s="10" t="inlineStr">
        <is>
          <t>Records declared by month</t>
        </is>
      </c>
      <c r="D23" s="10" t="inlineStr">
        <is>
          <t>Chart</t>
        </is>
      </c>
      <c r="E23" s="10" t="inlineStr">
        <is>
          <t>The department's declaration trend</t>
        </is>
      </c>
      <c r="F23" s="10" t="inlineStr">
        <is>
          <t>EDRMS database</t>
        </is>
      </c>
      <c r="G23" s="10" t="inlineStr">
        <is>
          <t>The EDRMS database, drm-npr, table public."Records"</t>
        </is>
      </c>
      <c r="H23"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23" s="10" t="inlineStr">
        <is>
          <t>'CreatedDate', filtered to the department's sites</t>
        </is>
      </c>
      <c r="J23" s="10" t="inlineStr">
        <is>
          <t>Group Records by month of CreatedDate, keeping only rows whose SiteUrl belongs to this department</t>
        </is>
      </c>
      <c r="K23" s="10" t="inlineStr">
        <is>
          <t>1 Utilization Report</t>
        </is>
      </c>
      <c r="L23" s="10" t="inlineStr">
        <is>
          <t>CreatedDate, ADBDepartmentOwner</t>
        </is>
      </c>
      <c r="M23" s="10" t="inlineStr">
        <is>
          <t>Yes</t>
        </is>
      </c>
      <c r="N23" s="10" t="inlineStr">
        <is>
          <t>Partly</t>
        </is>
      </c>
      <c r="O23" s="10" t="inlineStr">
        <is>
          <t>Easy</t>
        </is>
      </c>
      <c r="P23" s="12" t="inlineStr">
        <is>
          <t>Needs department list</t>
        </is>
      </c>
      <c r="Q23" s="10" t="inlineStr">
        <is>
          <t>Ask RAC for the site to department list, roughly 1,057 rows, one department per site URL. Check AvePoint Cloud Governance first, it may already hold it from the site request. Why: this single list unlocks every departmental figure in the report</t>
        </is>
      </c>
      <c r="R23" s="10" t="inlineStr"/>
      <c r="S23" s="10" t="inlineStr"/>
      <c r="T23" s="10" t="inlineStr"/>
    </row>
    <row r="24">
      <c r="A24" s="9" t="n">
        <v>20</v>
      </c>
      <c r="B24" s="10" t="inlineStr">
        <is>
          <t>Disposal</t>
        </is>
      </c>
      <c r="C24" s="10" t="inlineStr">
        <is>
          <t>Records due by library, approver, status</t>
        </is>
      </c>
      <c r="D24" s="10" t="inlineStr">
        <is>
          <t>Table</t>
        </is>
      </c>
      <c r="E24" s="10" t="inlineStr">
        <is>
          <t>Disposal readiness</t>
        </is>
      </c>
      <c r="F24" s="10" t="inlineStr">
        <is>
          <t>EDRMS database</t>
        </is>
      </c>
      <c r="G24" s="10" t="inlineStr">
        <is>
          <t>The EDRMS database, drm-npr, table public."Records"</t>
        </is>
      </c>
      <c r="H24"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24" s="10" t="inlineStr">
        <is>
          <t>'EDRMSDueDateForDisposal' and 'LibraryName'</t>
        </is>
      </c>
      <c r="J24" s="10" t="inlineStr">
        <is>
          <t>COUNT and MIN of the due date grouped by library. Approver and status cannot be produced: no field records them</t>
        </is>
      </c>
      <c r="K24" s="10" t="inlineStr">
        <is>
          <t>1 Utilization Report</t>
        </is>
      </c>
      <c r="L24" s="10" t="inlineStr">
        <is>
          <t>EDRMSDueDateForDisposal, LibraryName</t>
        </is>
      </c>
      <c r="M24" s="10" t="inlineStr">
        <is>
          <t>Partly</t>
        </is>
      </c>
      <c r="N24" s="10" t="inlineStr">
        <is>
          <t>Partly</t>
        </is>
      </c>
      <c r="O24" s="10" t="inlineStr">
        <is>
          <t>Medium</t>
        </is>
      </c>
      <c r="P24" s="16" t="inlineStr">
        <is>
          <t>Needs application change</t>
        </is>
      </c>
      <c r="Q24" s="10" t="inlineStr">
        <is>
          <t>Raise a change request for a disposal status field: status, approver, and date disposed. Why: nothing records that a disposal happened, so every completion figure is unanswerable</t>
        </is>
      </c>
      <c r="R24" s="10" t="inlineStr"/>
      <c r="S24" s="10" t="inlineStr"/>
      <c r="T24" s="10" t="inlineStr"/>
    </row>
    <row r="25">
      <c r="A25" s="9" t="n">
        <v>21</v>
      </c>
      <c r="B25" s="10" t="inlineStr">
        <is>
          <t>Conventions</t>
        </is>
      </c>
      <c r="C25" s="10" t="inlineStr">
        <is>
          <t>Convention link, approval date, version</t>
        </is>
      </c>
      <c r="D25" s="10" t="inlineStr">
        <is>
          <t>Panel</t>
        </is>
      </c>
      <c r="E25" s="10" t="inlineStr">
        <is>
          <t>The naming convention</t>
        </is>
      </c>
      <c r="F25" s="10" t="inlineStr">
        <is>
          <t>No source</t>
        </is>
      </c>
      <c r="G25" s="10" t="inlineStr">
        <is>
          <t>No file exists</t>
        </is>
      </c>
      <c r="H25" s="10" t="inlineStr">
        <is>
          <t>There is nothing to open. No system this report can reach holds this figure. See the question column for who to ask</t>
        </is>
      </c>
      <c r="I25" s="10" t="inlineStr">
        <is>
          <t>No column exists</t>
        </is>
      </c>
      <c r="J25" s="10" t="inlineStr">
        <is>
          <t>Cannot be worked out. A maintained list, one row per department</t>
        </is>
      </c>
      <c r="K25" s="10" t="inlineStr">
        <is>
          <t>None</t>
        </is>
      </c>
      <c r="L25" s="10" t="inlineStr">
        <is>
          <t>No column exists</t>
        </is>
      </c>
      <c r="M25" s="10" t="inlineStr">
        <is>
          <t>No</t>
        </is>
      </c>
      <c r="N25" s="10" t="inlineStr">
        <is>
          <t>No</t>
        </is>
      </c>
      <c r="O25" s="10" t="inlineStr">
        <is>
          <t>Blocked</t>
        </is>
      </c>
      <c r="P25" s="14" t="inlineStr">
        <is>
          <t>Needs reference list</t>
        </is>
      </c>
      <c r="Q25" s="10" t="inlineStr">
        <is>
          <t>Ask who maintains this list and where it will live. Why: it is not a measurement, nothing can generate it, and without an owner the panel stays empty</t>
        </is>
      </c>
      <c r="R25" s="10" t="inlineStr"/>
      <c r="S25" s="10" t="inlineStr"/>
      <c r="T25" s="10" t="inlineStr"/>
    </row>
    <row r="26">
      <c r="A26" s="9" t="n">
        <v>22</v>
      </c>
      <c r="B26" s="10" t="inlineStr">
        <is>
          <t>Programme dates</t>
        </is>
      </c>
      <c r="C26" s="10" t="inlineStr">
        <is>
          <t>Audit, review, training, CoP dates</t>
        </is>
      </c>
      <c r="D26" s="10" t="inlineStr">
        <is>
          <t>Panel</t>
        </is>
      </c>
      <c r="E26" s="10" t="inlineStr">
        <is>
          <t>The RM calendar</t>
        </is>
      </c>
      <c r="F26" s="10" t="inlineStr">
        <is>
          <t>No source</t>
        </is>
      </c>
      <c r="G26" s="10" t="inlineStr">
        <is>
          <t>No file exists</t>
        </is>
      </c>
      <c r="H26" s="10" t="inlineStr">
        <is>
          <t>There is nothing to open. No system this report can reach holds this figure. See the question column for who to ask</t>
        </is>
      </c>
      <c r="I26" s="10" t="inlineStr">
        <is>
          <t>No column exists</t>
        </is>
      </c>
      <c r="J26" s="10" t="inlineStr">
        <is>
          <t>Cannot be worked out. A maintained list, five dates per department</t>
        </is>
      </c>
      <c r="K26" s="10" t="inlineStr">
        <is>
          <t>None</t>
        </is>
      </c>
      <c r="L26" s="10" t="inlineStr">
        <is>
          <t>No column exists</t>
        </is>
      </c>
      <c r="M26" s="10" t="inlineStr">
        <is>
          <t>No</t>
        </is>
      </c>
      <c r="N26" s="10" t="inlineStr">
        <is>
          <t>No</t>
        </is>
      </c>
      <c r="O26" s="10" t="inlineStr">
        <is>
          <t>Blocked</t>
        </is>
      </c>
      <c r="P26" s="14" t="inlineStr">
        <is>
          <t>Needs reference list</t>
        </is>
      </c>
      <c r="Q26" s="10" t="inlineStr">
        <is>
          <t>Ask who maintains this list and where it will live. Why: it is not a measurement, nothing can generate it, and without an owner the panel stays empty</t>
        </is>
      </c>
      <c r="R26" s="10" t="inlineStr"/>
      <c r="S26" s="10" t="inlineStr"/>
      <c r="T26" s="10" t="inlineStr"/>
    </row>
  </sheetData>
  <autoFilter ref="A4:T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8" customWidth="1" min="3" max="3"/>
    <col width="9" customWidth="1" min="4" max="4"/>
    <col width="34" customWidth="1" min="5" max="5"/>
    <col width="18" customWidth="1" min="6" max="6"/>
    <col width="30" customWidth="1" min="7" max="7"/>
    <col width="62" customWidth="1" min="8" max="8"/>
    <col width="40" customWidth="1" min="9" max="9"/>
    <col width="60" customWidth="1" min="10" max="10"/>
    <col width="20" customWidth="1" min="11" max="11"/>
    <col width="28" customWidth="1" min="12" max="12"/>
    <col width="13" customWidth="1" min="13" max="13"/>
    <col width="15" customWidth="1" min="14" max="14"/>
    <col width="9" customWidth="1" min="15" max="15"/>
    <col width="24" customWidth="1" min="16" max="16"/>
    <col width="58" customWidth="1" min="17" max="17"/>
    <col width="46" customWidth="1" min="18" max="18"/>
    <col width="40" customWidth="1" min="19" max="19"/>
    <col width="69" customWidth="1" min="20" max="20"/>
  </cols>
  <sheetData>
    <row r="1" ht="20" customHeight="1">
      <c r="A1" s="5" t="inlineStr">
        <is>
          <t>Project Insights</t>
        </is>
      </c>
      <c r="B1" s="6" t="n"/>
      <c r="C1" s="6" t="n"/>
      <c r="D1" s="6" t="n"/>
      <c r="E1" s="6" t="n"/>
      <c r="F1" s="6" t="n"/>
      <c r="G1" s="6" t="n"/>
      <c r="H1" s="6" t="n"/>
      <c r="I1" s="6" t="n"/>
      <c r="J1" s="6" t="n"/>
      <c r="K1" s="6" t="n"/>
      <c r="L1" s="6" t="n"/>
      <c r="M1" s="6" t="n"/>
      <c r="N1" s="6" t="n"/>
      <c r="O1" s="6" t="n"/>
      <c r="P1" s="6" t="n"/>
      <c r="Q1" s="6" t="n"/>
      <c r="R1" s="6" t="n"/>
      <c r="S1" s="6" t="n"/>
      <c r="T1" s="6" t="n"/>
    </row>
    <row r="2" ht="16" customHeight="1">
      <c r="A2" s="7" t="inlineStr">
        <is>
          <t>Client design: PPT s36, s37, s38. Filter the Status column to see what can be built now.</t>
        </is>
      </c>
      <c r="B2" s="6" t="n"/>
      <c r="C2" s="6" t="n"/>
      <c r="D2" s="6" t="n"/>
      <c r="E2" s="6" t="n"/>
      <c r="F2" s="6" t="n"/>
      <c r="G2" s="6" t="n"/>
      <c r="H2" s="6" t="n"/>
      <c r="I2" s="6" t="n"/>
      <c r="J2" s="6" t="n"/>
      <c r="K2" s="6" t="n"/>
      <c r="L2" s="6" t="n"/>
      <c r="M2" s="6" t="n"/>
      <c r="N2" s="6" t="n"/>
      <c r="O2" s="6" t="n"/>
      <c r="P2" s="6" t="n"/>
      <c r="Q2" s="6" t="n"/>
      <c r="R2" s="6" t="n"/>
      <c r="S2" s="6" t="n"/>
      <c r="T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Report or file to open</t>
        </is>
      </c>
      <c r="H4" s="8" t="inlineStr">
        <is>
          <t>Step by step: how to get that file</t>
        </is>
      </c>
      <c r="I4" s="8" t="inlineStr">
        <is>
          <t>Exact column heading in that file</t>
        </is>
      </c>
      <c r="J4" s="8" t="inlineStr">
        <is>
          <t>How the number is worked out</t>
        </is>
      </c>
      <c r="K4" s="8" t="inlineStr">
        <is>
          <t>Database table</t>
        </is>
      </c>
      <c r="L4" s="8" t="inlineStr">
        <is>
          <t>Database column</t>
        </is>
      </c>
      <c r="M4" s="8" t="inlineStr">
        <is>
          <t>In the design?</t>
        </is>
      </c>
      <c r="N4" s="8" t="inlineStr">
        <is>
          <t>In the tenant today?</t>
        </is>
      </c>
      <c r="O4" s="8" t="inlineStr">
        <is>
          <t>Effort</t>
        </is>
      </c>
      <c r="P4" s="8" t="inlineStr">
        <is>
          <t>Status</t>
        </is>
      </c>
      <c r="Q4" s="8" t="inlineStr">
        <is>
          <t>Question to ask the client, and why</t>
        </is>
      </c>
      <c r="R4" s="8" t="inlineStr">
        <is>
          <t>Questions</t>
        </is>
      </c>
      <c r="S4" s="8" t="inlineStr">
        <is>
          <t>What we found</t>
        </is>
      </c>
      <c r="T4" s="8" t="inlineStr">
        <is>
          <t>FINAL REMARKS</t>
        </is>
      </c>
    </row>
    <row r="5">
      <c r="A5" s="9" t="n">
        <v>1</v>
      </c>
      <c r="B5" s="10" t="inlineStr">
        <is>
          <t>Classification</t>
        </is>
      </c>
      <c r="C5" s="10" t="inlineStr">
        <is>
          <t>Which sites are project sites</t>
        </is>
      </c>
      <c r="D5" s="10" t="inlineStr">
        <is>
          <t>Filter</t>
        </is>
      </c>
      <c r="E5" s="10" t="inlineStr">
        <is>
          <t>The population this reports on</t>
        </is>
      </c>
      <c r="F5" s="10" t="inlineStr">
        <is>
          <t>No source</t>
        </is>
      </c>
      <c r="G5" s="10" t="inlineStr">
        <is>
          <t>No file exists</t>
        </is>
      </c>
      <c r="H5" s="10" t="inlineStr">
        <is>
          <t>There is nothing to open. No system this report can reach holds this figure. See the question column for who to ask</t>
        </is>
      </c>
      <c r="I5" s="10" t="inlineStr">
        <is>
          <t>No column in any export identifies a project site</t>
        </is>
      </c>
      <c r="J5" s="10" t="inlineStr">
        <is>
          <t>Cannot be worked out. Once a register exists it loads onto the site row, exactly the way department will, and everything else here follows</t>
        </is>
      </c>
      <c r="K5" s="10" t="inlineStr">
        <is>
          <t>2 Site Activity</t>
        </is>
      </c>
      <c r="L5" s="10" t="inlineStr">
        <is>
          <t>No column exists</t>
        </is>
      </c>
      <c r="M5" s="10" t="inlineStr">
        <is>
          <t>No</t>
        </is>
      </c>
      <c r="N5" s="10" t="inlineStr">
        <is>
          <t>No</t>
        </is>
      </c>
      <c r="O5" s="10" t="inlineStr">
        <is>
          <t>Blocked</t>
        </is>
      </c>
      <c r="P5" s="13" t="inlineStr">
        <is>
          <t>Needs new data source</t>
        </is>
      </c>
      <c r="Q5" s="10" t="inlineStr">
        <is>
          <t>Ask whether a project site register exists: site URL to project number, and sovereign or nonsovereign. Check Cloud Governance first. Why: it is the only thing missing for the whole Project Insights dashboard, every measure on it is already producible</t>
        </is>
      </c>
      <c r="R5" s="10" t="inlineStr"/>
      <c r="S5" s="10" t="inlineStr"/>
      <c r="T5" s="10" t="inlineStr"/>
    </row>
    <row r="6">
      <c r="A6" s="9" t="n">
        <v>2</v>
      </c>
      <c r="B6" s="10" t="inlineStr">
        <is>
          <t>Classification</t>
        </is>
      </c>
      <c r="C6" s="10" t="inlineStr">
        <is>
          <t>Sovereign against nonsovereign</t>
        </is>
      </c>
      <c r="D6" s="10" t="inlineStr">
        <is>
          <t>Filter</t>
        </is>
      </c>
      <c r="E6" s="10" t="inlineStr">
        <is>
          <t>Facility type</t>
        </is>
      </c>
      <c r="F6" s="10" t="inlineStr">
        <is>
          <t>No source</t>
        </is>
      </c>
      <c r="G6" s="10" t="inlineStr">
        <is>
          <t>No file exists</t>
        </is>
      </c>
      <c r="H6" s="10" t="inlineStr">
        <is>
          <t>There is nothing to open. No system this report can reach holds this figure. See the question column for who to ask</t>
        </is>
      </c>
      <c r="I6" s="10" t="inlineStr">
        <is>
          <t>No column exists</t>
        </is>
      </c>
      <c r="J6" s="10" t="inlineStr">
        <is>
          <t>Cannot be worked out. Comes with the project register</t>
        </is>
      </c>
      <c r="K6" s="10" t="inlineStr">
        <is>
          <t>2 Site Activity</t>
        </is>
      </c>
      <c r="L6" s="10" t="inlineStr">
        <is>
          <t>No column exists</t>
        </is>
      </c>
      <c r="M6" s="10" t="inlineStr">
        <is>
          <t>No</t>
        </is>
      </c>
      <c r="N6" s="10" t="inlineStr">
        <is>
          <t>No</t>
        </is>
      </c>
      <c r="O6" s="10" t="inlineStr">
        <is>
          <t>Blocked</t>
        </is>
      </c>
      <c r="P6" s="13" t="inlineStr">
        <is>
          <t>Needs new data source</t>
        </is>
      </c>
      <c r="Q6" s="10" t="inlineStr">
        <is>
          <t>Ask whether a project site register exists: site URL to project number, and sovereign or nonsovereign. Check Cloud Governance first. Why: it is the only thing missing for the whole Project Insights dashboard, every measure on it is already producible</t>
        </is>
      </c>
      <c r="R6" s="10" t="inlineStr"/>
      <c r="S6" s="10" t="inlineStr"/>
      <c r="T6" s="10" t="inlineStr"/>
    </row>
    <row r="7">
      <c r="A7" s="9" t="n">
        <v>3</v>
      </c>
      <c r="B7" s="10" t="inlineStr">
        <is>
          <t>Projects</t>
        </is>
      </c>
      <c r="C7" s="10" t="inlineStr">
        <is>
          <t>Project number and name</t>
        </is>
      </c>
      <c r="D7" s="10" t="inlineStr">
        <is>
          <t>Table</t>
        </is>
      </c>
      <c r="E7" s="10" t="inlineStr">
        <is>
          <t>The list of projects</t>
        </is>
      </c>
      <c r="F7" s="10" t="inlineStr">
        <is>
          <t>No source</t>
        </is>
      </c>
      <c r="G7" s="10" t="inlineStr">
        <is>
          <t>No file exists</t>
        </is>
      </c>
      <c r="H7" s="10" t="inlineStr">
        <is>
          <t>There is nothing to open. No system this report can reach holds this figure. See the question column for who to ask</t>
        </is>
      </c>
      <c r="I7" s="10" t="inlineStr">
        <is>
          <t>No column exists in any Microsoft export</t>
        </is>
      </c>
      <c r="J7" s="10" t="inlineStr">
        <is>
          <t>Cannot be worked out. ADB operational data, held in ADB project systems</t>
        </is>
      </c>
      <c r="K7" s="10" t="inlineStr">
        <is>
          <t>2 Site Activity</t>
        </is>
      </c>
      <c r="L7" s="10" t="inlineStr">
        <is>
          <t>No column exists</t>
        </is>
      </c>
      <c r="M7" s="10" t="inlineStr">
        <is>
          <t>No</t>
        </is>
      </c>
      <c r="N7" s="10" t="inlineStr">
        <is>
          <t>No</t>
        </is>
      </c>
      <c r="O7" s="10" t="inlineStr">
        <is>
          <t>Blocked</t>
        </is>
      </c>
      <c r="P7" s="13" t="inlineStr">
        <is>
          <t>Needs new data source</t>
        </is>
      </c>
      <c r="Q7" s="10" t="inlineStr">
        <is>
          <t>Ask whether a project site register exists: site URL to project number, and sovereign or nonsovereign. Check Cloud Governance first. Why: it is the only thing missing for the whole Project Insights dashboard, every measure on it is already producible</t>
        </is>
      </c>
      <c r="R7" s="10" t="inlineStr"/>
      <c r="S7" s="10" t="inlineStr"/>
      <c r="T7" s="10" t="inlineStr"/>
    </row>
    <row r="8">
      <c r="A8" s="9" t="n">
        <v>4</v>
      </c>
      <c r="B8" s="10" t="inlineStr">
        <is>
          <t>Projects</t>
        </is>
      </c>
      <c r="C8" s="10" t="inlineStr">
        <is>
          <t>Sites, documents, records, counterparts, due</t>
        </is>
      </c>
      <c r="D8" s="10" t="inlineStr">
        <is>
          <t>Table column</t>
        </is>
      </c>
      <c r="E8" s="10" t="inlineStr">
        <is>
          <t>What each project holds</t>
        </is>
      </c>
      <c r="F8" s="10" t="inlineStr">
        <is>
          <t>EDRMS database</t>
        </is>
      </c>
      <c r="G8" s="10" t="inlineStr">
        <is>
          <t>No single file. Computed from the tables above</t>
        </is>
      </c>
      <c r="H8" s="10" t="inlineStr">
        <is>
          <t>Produced by the refresh job from the sources above rather than read from one export. Verify it by checking the inputs named in the next two columns</t>
        </is>
      </c>
      <c r="I8" s="10" t="inlineStr">
        <is>
          <t>'File Count' and 'Storage Used (Byte)' from the usage export, and the Records table</t>
        </is>
      </c>
      <c r="J8" s="10" t="inlineStr">
        <is>
          <t>Identical arithmetic to the department figures, grouped by project instead. EVERY one of these is producible today for any site we can identify. Only the classification is missing</t>
        </is>
      </c>
      <c r="K8" s="10" t="inlineStr">
        <is>
          <t>1 Utilization Report and 2 Site Activity</t>
        </is>
      </c>
      <c r="L8" s="10" t="inlineStr">
        <is>
          <t>All the standard measures</t>
        </is>
      </c>
      <c r="M8" s="10" t="inlineStr">
        <is>
          <t>Yes</t>
        </is>
      </c>
      <c r="N8" s="10" t="inlineStr">
        <is>
          <t>Partly</t>
        </is>
      </c>
      <c r="O8" s="10" t="inlineStr">
        <is>
          <t>Easy</t>
        </is>
      </c>
      <c r="P8" s="13" t="inlineStr">
        <is>
          <t>Needs new data source</t>
        </is>
      </c>
      <c r="Q8" s="10" t="inlineStr">
        <is>
          <t>Ask whether a project site register exists: site URL to project number, and sovereign or nonsovereign. Check Cloud Governance first. Why: it is the only thing missing for the whole Project Insights dashboard, every measure on it is already producible</t>
        </is>
      </c>
      <c r="R8" s="10" t="inlineStr"/>
      <c r="S8" s="10" t="inlineStr"/>
      <c r="T8" s="10" t="inlineStr"/>
    </row>
    <row r="9">
      <c r="A9" s="9" t="n">
        <v>5</v>
      </c>
      <c r="B9" s="10" t="inlineStr">
        <is>
          <t>Profile</t>
        </is>
      </c>
      <c r="C9" s="10" t="inlineStr">
        <is>
          <t>Facility type, modality, country, status, dates</t>
        </is>
      </c>
      <c r="D9" s="10" t="inlineStr">
        <is>
          <t>Panel</t>
        </is>
      </c>
      <c r="E9" s="10" t="inlineStr">
        <is>
          <t>Project attributes</t>
        </is>
      </c>
      <c r="F9" s="10" t="inlineStr">
        <is>
          <t>No source</t>
        </is>
      </c>
      <c r="G9" s="10" t="inlineStr">
        <is>
          <t>No file exists</t>
        </is>
      </c>
      <c r="H9" s="10" t="inlineStr">
        <is>
          <t>There is nothing to open. No system this report can reach holds this figure. See the question column for who to ask</t>
        </is>
      </c>
      <c r="I9" s="10" t="inlineStr">
        <is>
          <t>No column exists. ProjectEndDate on ADBSites is the only project field held</t>
        </is>
      </c>
      <c r="J9" s="10" t="inlineStr">
        <is>
          <t>Cannot be worked out. Seven of the eight attributes exist in no system this report reads</t>
        </is>
      </c>
      <c r="K9" s="10" t="inlineStr">
        <is>
          <t>2 Site Activity</t>
        </is>
      </c>
      <c r="L9" s="10" t="inlineStr">
        <is>
          <t>ProjectEndDate only</t>
        </is>
      </c>
      <c r="M9" s="10" t="inlineStr">
        <is>
          <t>One field of eight</t>
        </is>
      </c>
      <c r="N9" s="10" t="inlineStr">
        <is>
          <t>No</t>
        </is>
      </c>
      <c r="O9" s="10" t="inlineStr">
        <is>
          <t>Blocked</t>
        </is>
      </c>
      <c r="P9" s="13" t="inlineStr">
        <is>
          <t>Needs new data source</t>
        </is>
      </c>
      <c r="Q9" s="10" t="inlineStr">
        <is>
          <t>Ask whether a project site register exists: site URL to project number, and sovereign or nonsovereign. Check Cloud Governance first. Why: it is the only thing missing for the whole Project Insights dashboard, every measure on it is already producible</t>
        </is>
      </c>
      <c r="R9" s="10" t="inlineStr"/>
      <c r="S9" s="10" t="inlineStr"/>
      <c r="T9" s="10" t="inlineStr"/>
    </row>
    <row r="10">
      <c r="A10" s="9" t="n">
        <v>6</v>
      </c>
      <c r="B10" s="10" t="inlineStr">
        <is>
          <t>Profile</t>
        </is>
      </c>
      <c r="C10" s="10" t="inlineStr">
        <is>
          <t>Declaration and counterpart donuts</t>
        </is>
      </c>
      <c r="D10" s="10" t="inlineStr">
        <is>
          <t>Chart</t>
        </is>
      </c>
      <c r="E10" s="10" t="inlineStr">
        <is>
          <t>Recordkeeping for one project</t>
        </is>
      </c>
      <c r="F10" s="10" t="inlineStr">
        <is>
          <t>EDRMS database</t>
        </is>
      </c>
      <c r="G10" s="10" t="inlineStr">
        <is>
          <t>No single file. Computed from the tables above</t>
        </is>
      </c>
      <c r="H10" s="10" t="inlineStr">
        <is>
          <t>Produced by the refresh job from the sources above rather than read from one export. Verify it by checking the inputs named in the next two columns</t>
        </is>
      </c>
      <c r="I10" s="10" t="inlineStr">
        <is>
          <t>The Records count and the HasPhysical key, over 'File Count'</t>
        </is>
      </c>
      <c r="J10" s="10" t="inlineStr">
        <is>
          <t>Two slice donuts over the project's documents, the same arithmetic as the department view</t>
        </is>
      </c>
      <c r="K10" s="10" t="inlineStr">
        <is>
          <t>1 Utilization Report</t>
        </is>
      </c>
      <c r="L10" s="10" t="inlineStr">
        <is>
          <t>IsDeclaredRecord, HasPhysical</t>
        </is>
      </c>
      <c r="M10" s="10" t="inlineStr">
        <is>
          <t>Yes</t>
        </is>
      </c>
      <c r="N10" s="10" t="inlineStr">
        <is>
          <t>Partly</t>
        </is>
      </c>
      <c r="O10" s="10" t="inlineStr">
        <is>
          <t>Easy</t>
        </is>
      </c>
      <c r="P10" s="13" t="inlineStr">
        <is>
          <t>Needs new data source</t>
        </is>
      </c>
      <c r="Q10" s="10" t="inlineStr">
        <is>
          <t>Ask whether a project site register exists: site URL to project number, and sovereign or nonsovereign. Check Cloud Governance first. Why: it is the only thing missing for the whole Project Insights dashboard, every measure on it is already producible</t>
        </is>
      </c>
      <c r="R10" s="10" t="inlineStr"/>
      <c r="S10" s="10" t="inlineStr"/>
      <c r="T10" s="10" t="inlineStr"/>
    </row>
  </sheetData>
  <autoFilter ref="A4:T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8" customWidth="1" min="3" max="3"/>
    <col width="9" customWidth="1" min="4" max="4"/>
    <col width="34" customWidth="1" min="5" max="5"/>
    <col width="18" customWidth="1" min="6" max="6"/>
    <col width="30" customWidth="1" min="7" max="7"/>
    <col width="62" customWidth="1" min="8" max="8"/>
    <col width="40" customWidth="1" min="9" max="9"/>
    <col width="60" customWidth="1" min="10" max="10"/>
    <col width="20" customWidth="1" min="11" max="11"/>
    <col width="28" customWidth="1" min="12" max="12"/>
    <col width="13" customWidth="1" min="13" max="13"/>
    <col width="15" customWidth="1" min="14" max="14"/>
    <col width="9" customWidth="1" min="15" max="15"/>
    <col width="24" customWidth="1" min="16" max="16"/>
    <col width="58" customWidth="1" min="17" max="17"/>
    <col width="46" customWidth="1" min="18" max="18"/>
    <col width="40" customWidth="1" min="19" max="19"/>
    <col width="69" customWidth="1" min="20" max="20"/>
  </cols>
  <sheetData>
    <row r="1" ht="20" customHeight="1">
      <c r="A1" s="5" t="inlineStr">
        <is>
          <t>Institutional File Plan Insights</t>
        </is>
      </c>
      <c r="B1" s="6" t="n"/>
      <c r="C1" s="6" t="n"/>
      <c r="D1" s="6" t="n"/>
      <c r="E1" s="6" t="n"/>
      <c r="F1" s="6" t="n"/>
      <c r="G1" s="6" t="n"/>
      <c r="H1" s="6" t="n"/>
      <c r="I1" s="6" t="n"/>
      <c r="J1" s="6" t="n"/>
      <c r="K1" s="6" t="n"/>
      <c r="L1" s="6" t="n"/>
      <c r="M1" s="6" t="n"/>
      <c r="N1" s="6" t="n"/>
      <c r="O1" s="6" t="n"/>
      <c r="P1" s="6" t="n"/>
      <c r="Q1" s="6" t="n"/>
      <c r="R1" s="6" t="n"/>
      <c r="S1" s="6" t="n"/>
      <c r="T1" s="6" t="n"/>
    </row>
    <row r="2" ht="16" customHeight="1">
      <c r="A2" s="7" t="inlineStr">
        <is>
          <t>Client design: PPT s29 to s31, s47 to s52. Filter the Status column to see what can be built now.</t>
        </is>
      </c>
      <c r="B2" s="6" t="n"/>
      <c r="C2" s="6" t="n"/>
      <c r="D2" s="6" t="n"/>
      <c r="E2" s="6" t="n"/>
      <c r="F2" s="6" t="n"/>
      <c r="G2" s="6" t="n"/>
      <c r="H2" s="6" t="n"/>
      <c r="I2" s="6" t="n"/>
      <c r="J2" s="6" t="n"/>
      <c r="K2" s="6" t="n"/>
      <c r="L2" s="6" t="n"/>
      <c r="M2" s="6" t="n"/>
      <c r="N2" s="6" t="n"/>
      <c r="O2" s="6" t="n"/>
      <c r="P2" s="6" t="n"/>
      <c r="Q2" s="6" t="n"/>
      <c r="R2" s="6" t="n"/>
      <c r="S2" s="6" t="n"/>
      <c r="T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Report or file to open</t>
        </is>
      </c>
      <c r="H4" s="8" t="inlineStr">
        <is>
          <t>Step by step: how to get that file</t>
        </is>
      </c>
      <c r="I4" s="8" t="inlineStr">
        <is>
          <t>Exact column heading in that file</t>
        </is>
      </c>
      <c r="J4" s="8" t="inlineStr">
        <is>
          <t>How the number is worked out</t>
        </is>
      </c>
      <c r="K4" s="8" t="inlineStr">
        <is>
          <t>Database table</t>
        </is>
      </c>
      <c r="L4" s="8" t="inlineStr">
        <is>
          <t>Database column</t>
        </is>
      </c>
      <c r="M4" s="8" t="inlineStr">
        <is>
          <t>In the design?</t>
        </is>
      </c>
      <c r="N4" s="8" t="inlineStr">
        <is>
          <t>In the tenant today?</t>
        </is>
      </c>
      <c r="O4" s="8" t="inlineStr">
        <is>
          <t>Effort</t>
        </is>
      </c>
      <c r="P4" s="8" t="inlineStr">
        <is>
          <t>Status</t>
        </is>
      </c>
      <c r="Q4" s="8" t="inlineStr">
        <is>
          <t>Question to ask the client, and why</t>
        </is>
      </c>
      <c r="R4" s="8" t="inlineStr">
        <is>
          <t>Questions</t>
        </is>
      </c>
      <c r="S4" s="8" t="inlineStr">
        <is>
          <t>What we found</t>
        </is>
      </c>
      <c r="T4" s="8" t="inlineStr">
        <is>
          <t>FINAL REMARKS</t>
        </is>
      </c>
    </row>
    <row r="5">
      <c r="A5" s="9" t="n">
        <v>1</v>
      </c>
      <c r="B5" s="10" t="inlineStr">
        <is>
          <t>Structure</t>
        </is>
      </c>
      <c r="C5" s="10" t="inlineStr">
        <is>
          <t>The five categories</t>
        </is>
      </c>
      <c r="D5" s="10" t="inlineStr">
        <is>
          <t>KPI and table</t>
        </is>
      </c>
      <c r="E5" s="10" t="inlineStr">
        <is>
          <t>Top level groups of the plan</t>
        </is>
      </c>
      <c r="F5" s="10" t="inlineStr">
        <is>
          <t>Term store</t>
        </is>
      </c>
      <c r="G5" s="10" t="inlineStr">
        <is>
          <t>SharePoint term store</t>
        </is>
      </c>
      <c r="H5" s="10" t="inlineStr">
        <is>
          <t>1. Go to https://7rkd12-admin.sharepoint.com
2. Open Content services, then Term store
3. Expand the groups. 19 term groups were visible on 14 Aug 2026: ADB, ADB Exchange, ADB Test, ADB-Test, CPM Terms, Deleted Required, Emails, File Type, Finance, Group01, Group02, HR Tracking, LeilaTest, OneDrive, People, Search Dictionaries, SharePoint, Short Term Storage, System. NONE is named File Plan, Classification or Records.
4. NOT RE-VERIFIED: the earlier note of 6 value sets and 16 terms one level deep was taken before those 19 groups were seen, and the groups were not expanded. Expand ADB and File Type and count depth before quoting either figure</t>
        </is>
      </c>
      <c r="I5" s="10" t="inlineStr">
        <is>
          <t>The group names returned by GET /termStore/groups</t>
        </is>
      </c>
      <c r="J5" s="10" t="inlineStr">
        <is>
          <t>Walk the tree: groups, then sets inside each, then children one level at a time. The API returns ONE LEVEL PER CALL, so counting the terms under a category means looping. In the test tenant this returns 6 value sets and 16 terms one level deep, which is NOT the institutional file plan the client is describing</t>
        </is>
      </c>
      <c r="K5" s="10" t="inlineStr">
        <is>
          <t>4 File Plan</t>
        </is>
      </c>
      <c r="L5" s="10" t="inlineStr">
        <is>
          <t>CategoryName, TermName, TermSetName, Depth</t>
        </is>
      </c>
      <c r="M5" s="10" t="inlineStr">
        <is>
          <t>Yes, unverified</t>
        </is>
      </c>
      <c r="N5" s="10" t="inlineStr">
        <is>
          <t>No</t>
        </is>
      </c>
      <c r="O5" s="10" t="inlineStr">
        <is>
          <t>Medium</t>
        </is>
      </c>
      <c r="P5" s="17" t="inlineStr">
        <is>
          <t>Decision needed</t>
        </is>
      </c>
      <c r="Q5" s="10" t="inlineStr">
        <is>
          <t>Ask where the institutional file plan actually lives. It is in neither the term store, which holds 6 dropdown value sets and 16 terms one level deep, nor Purview, which holds 53 flat retention labels. Why: a whole dashboard waits on the answer</t>
        </is>
      </c>
      <c r="R5" s="10" t="inlineStr"/>
      <c r="S5" s="10" t="inlineStr"/>
      <c r="T5" s="10" t="inlineStr"/>
    </row>
    <row r="6">
      <c r="A6" s="9" t="n">
        <v>2</v>
      </c>
      <c r="B6" s="10" t="inlineStr">
        <is>
          <t>Structure</t>
        </is>
      </c>
      <c r="C6" s="10" t="inlineStr">
        <is>
          <t>Total terms, terms per category</t>
        </is>
      </c>
      <c r="D6" s="10" t="inlineStr">
        <is>
          <t>KPI</t>
        </is>
      </c>
      <c r="E6" s="10" t="inlineStr">
        <is>
          <t>Size of the plan</t>
        </is>
      </c>
      <c r="F6" s="10" t="inlineStr">
        <is>
          <t>Term store</t>
        </is>
      </c>
      <c r="G6" s="10" t="inlineStr">
        <is>
          <t>SharePoint term store</t>
        </is>
      </c>
      <c r="H6" s="10" t="inlineStr">
        <is>
          <t>1. Go to https://7rkd12-admin.sharepoint.com
2. Open Content services, then Term store
3. Expand the groups. 19 term groups were visible on 14 Aug 2026: ADB, ADB Exchange, ADB Test, ADB-Test, CPM Terms, Deleted Required, Emails, File Type, Finance, Group01, Group02, HR Tracking, LeilaTest, OneDrive, People, Search Dictionaries, SharePoint, Short Term Storage, System. NONE is named File Plan, Classification or Records.
4. NOT RE-VERIFIED: the earlier note of 6 value sets and 16 terms one level deep was taken before those 19 groups were seen, and the groups were not expanded. Expand ADB and File Type and count depth before quoting either figure</t>
        </is>
      </c>
      <c r="I6" s="10" t="inlineStr">
        <is>
          <t>The term names returned while walking the tree</t>
        </is>
      </c>
      <c r="J6" s="10" t="inlineStr">
        <is>
          <t>COUNT the terms found, grouped by the group they sit under. Whatever the term store holds today is countable, it is simply not the file plan being asked for</t>
        </is>
      </c>
      <c r="K6" s="10" t="inlineStr">
        <is>
          <t>4 File Plan</t>
        </is>
      </c>
      <c r="L6" s="10" t="inlineStr">
        <is>
          <t>TermId, CategoryName</t>
        </is>
      </c>
      <c r="M6" s="10" t="inlineStr">
        <is>
          <t>Yes</t>
        </is>
      </c>
      <c r="N6" s="10" t="inlineStr">
        <is>
          <t>No</t>
        </is>
      </c>
      <c r="O6" s="10" t="inlineStr">
        <is>
          <t>Easy</t>
        </is>
      </c>
      <c r="P6" s="17" t="inlineStr">
        <is>
          <t>Decision needed</t>
        </is>
      </c>
      <c r="Q6" s="10" t="inlineStr">
        <is>
          <t>Ask where the institutional file plan actually lives. It is in neither the term store, which holds 6 dropdown value sets and 16 terms one level deep, nor Purview, which holds 53 flat retention labels. Why: a whole dashboard waits on the answer</t>
        </is>
      </c>
      <c r="R6" s="10" t="inlineStr"/>
      <c r="S6" s="10" t="inlineStr"/>
      <c r="T6" s="10" t="inlineStr"/>
    </row>
    <row r="7">
      <c r="A7" s="9" t="n">
        <v>3</v>
      </c>
      <c r="B7" s="10" t="inlineStr">
        <is>
          <t>Term tables</t>
        </is>
      </c>
      <c r="C7" s="10" t="inlineStr">
        <is>
          <t>Documents, records, counterparts per term</t>
        </is>
      </c>
      <c r="D7" s="10" t="inlineStr">
        <is>
          <t>Table column</t>
        </is>
      </c>
      <c r="E7" s="10" t="inlineStr">
        <is>
          <t>How heavily each term is used</t>
        </is>
      </c>
      <c r="F7" s="10" t="inlineStr">
        <is>
          <t>No source</t>
        </is>
      </c>
      <c r="G7" s="10" t="inlineStr">
        <is>
          <t>No file exists</t>
        </is>
      </c>
      <c r="H7" s="10" t="inlineStr">
        <is>
          <t>There is nothing to open. No system this report can reach holds this figure. See the question column for who to ask</t>
        </is>
      </c>
      <c r="I7" s="10" t="inlineStr">
        <is>
          <t>No column links a term to a document. Records has no term column, the file plan has no document key</t>
        </is>
      </c>
      <c r="J7" s="10" t="inlineStr">
        <is>
          <t>Cannot be worked out. Even once the file plan is located, this needs a new column on the document row or a term to library mapping list</t>
        </is>
      </c>
      <c r="K7" s="10" t="inlineStr">
        <is>
          <t>1 Utilization Report to 4 File Plan</t>
        </is>
      </c>
      <c r="L7" s="10" t="inlineStr">
        <is>
          <t>No join key exists</t>
        </is>
      </c>
      <c r="M7" s="10" t="inlineStr">
        <is>
          <t>No</t>
        </is>
      </c>
      <c r="N7" s="10" t="inlineStr">
        <is>
          <t>No</t>
        </is>
      </c>
      <c r="O7" s="10" t="inlineStr">
        <is>
          <t>Blocked</t>
        </is>
      </c>
      <c r="P7" s="15" t="inlineStr">
        <is>
          <t>Needs new column or join</t>
        </is>
      </c>
      <c r="Q7" s="10" t="inlineStr">
        <is>
          <t>Ask the development team to add a term reference to the document row, or supply a term to library mapping list. Why: nothing links a term to a document, so no per term figure can be produced even once the file plan is located</t>
        </is>
      </c>
      <c r="R7" s="10" t="inlineStr"/>
      <c r="S7" s="10" t="inlineStr"/>
      <c r="T7" s="10" t="inlineStr"/>
    </row>
    <row r="8">
      <c r="A8" s="9" t="n">
        <v>4</v>
      </c>
      <c r="B8" s="10" t="inlineStr">
        <is>
          <t>Term tables</t>
        </is>
      </c>
      <c r="C8" s="10" t="inlineStr">
        <is>
          <t>Libraries and departments provisioned per term</t>
        </is>
      </c>
      <c r="D8" s="10" t="inlineStr">
        <is>
          <t>Table column</t>
        </is>
      </c>
      <c r="E8" s="10" t="inlineStr">
        <is>
          <t>Reach of each term</t>
        </is>
      </c>
      <c r="F8" s="10" t="inlineStr">
        <is>
          <t>No source</t>
        </is>
      </c>
      <c r="G8" s="10" t="inlineStr">
        <is>
          <t>No file exists</t>
        </is>
      </c>
      <c r="H8" s="10" t="inlineStr">
        <is>
          <t>There is nothing to open. No system this report can reach holds this figure. See the question column for who to ask</t>
        </is>
      </c>
      <c r="I8" s="10" t="inlineStr">
        <is>
          <t>No join key, and no department list</t>
        </is>
      </c>
      <c r="J8" s="10" t="inlineStr">
        <is>
          <t>Cannot be worked out. Two blockers at once</t>
        </is>
      </c>
      <c r="K8" s="10" t="inlineStr">
        <is>
          <t>4 File Plan</t>
        </is>
      </c>
      <c r="L8" s="10" t="inlineStr">
        <is>
          <t>No join key exists</t>
        </is>
      </c>
      <c r="M8" s="10" t="inlineStr">
        <is>
          <t>No</t>
        </is>
      </c>
      <c r="N8" s="10" t="inlineStr">
        <is>
          <t>No</t>
        </is>
      </c>
      <c r="O8" s="10" t="inlineStr">
        <is>
          <t>Blocked</t>
        </is>
      </c>
      <c r="P8" s="15" t="inlineStr">
        <is>
          <t>Needs new column or join</t>
        </is>
      </c>
      <c r="Q8" s="10" t="inlineStr">
        <is>
          <t>Ask the development team to add a term reference to the document row, or supply a term to library mapping list. Why: nothing links a term to a document, so no per term figure can be produced even once the file plan is located. Also Ask RAC for the site to department list, roughly 1,057 rows, one department per site URL. Check AvePoint Cloud Governance first, it may already hold it from the site request. Why: this single list unlocks every departmental figure in the report</t>
        </is>
      </c>
      <c r="R8" s="10" t="inlineStr"/>
      <c r="S8" s="10" t="inlineStr"/>
      <c r="T8" s="10" t="inlineStr"/>
    </row>
    <row r="9">
      <c r="A9" s="9" t="n">
        <v>5</v>
      </c>
      <c r="B9" s="10" t="inlineStr">
        <is>
          <t>Term usage</t>
        </is>
      </c>
      <c r="C9" s="10" t="inlineStr">
        <is>
          <t>Most used and least used terms</t>
        </is>
      </c>
      <c r="D9" s="10" t="inlineStr">
        <is>
          <t>Chart</t>
        </is>
      </c>
      <c r="E9" s="10" t="inlineStr">
        <is>
          <t>Usage pattern across the plan</t>
        </is>
      </c>
      <c r="F9" s="10" t="inlineStr">
        <is>
          <t>No source</t>
        </is>
      </c>
      <c r="G9" s="10" t="inlineStr">
        <is>
          <t>No file exists</t>
        </is>
      </c>
      <c r="H9" s="10" t="inlineStr">
        <is>
          <t>There is nothing to open. No system this report can reach holds this figure. See the question column for who to ask</t>
        </is>
      </c>
      <c r="I9" s="10" t="inlineStr">
        <is>
          <t>No join key exists</t>
        </is>
      </c>
      <c r="J9" s="10" t="inlineStr">
        <is>
          <t>Cannot be worked out. Once the join exists it is COUNT per term, ordered</t>
        </is>
      </c>
      <c r="K9" s="10" t="inlineStr">
        <is>
          <t>1 Utilization Report to 4 File Plan</t>
        </is>
      </c>
      <c r="L9" s="10" t="inlineStr">
        <is>
          <t>No join key exists</t>
        </is>
      </c>
      <c r="M9" s="10" t="inlineStr">
        <is>
          <t>No</t>
        </is>
      </c>
      <c r="N9" s="10" t="inlineStr">
        <is>
          <t>No</t>
        </is>
      </c>
      <c r="O9" s="10" t="inlineStr">
        <is>
          <t>Blocked</t>
        </is>
      </c>
      <c r="P9" s="15" t="inlineStr">
        <is>
          <t>Needs new column or join</t>
        </is>
      </c>
      <c r="Q9" s="10" t="inlineStr">
        <is>
          <t>Ask the development team to add a term reference to the document row, or supply a term to library mapping list. Why: nothing links a term to a document, so no per term figure can be produced even once the file plan is located</t>
        </is>
      </c>
      <c r="R9" s="10" t="inlineStr"/>
      <c r="S9" s="10" t="inlineStr"/>
      <c r="T9" s="10" t="inlineStr"/>
    </row>
    <row r="10">
      <c r="A10" s="9" t="n">
        <v>6</v>
      </c>
      <c r="B10" s="10" t="inlineStr">
        <is>
          <t>Classification</t>
        </is>
      </c>
      <c r="C10" s="10" t="inlineStr">
        <is>
          <t>Records by classification</t>
        </is>
      </c>
      <c r="D10" s="10" t="inlineStr">
        <is>
          <t>Tile</t>
        </is>
      </c>
      <c r="E10" s="10" t="inlineStr">
        <is>
          <t>Records by file plan term</t>
        </is>
      </c>
      <c r="F10" s="10" t="inlineStr">
        <is>
          <t>No source</t>
        </is>
      </c>
      <c r="G10" s="10" t="inlineStr">
        <is>
          <t>No file exists</t>
        </is>
      </c>
      <c r="H10" s="10" t="inlineStr">
        <is>
          <t>There is nothing to open. No system this report can reach holds this figure. See the question column for who to ask</t>
        </is>
      </c>
      <c r="I10" s="10" t="inlineStr">
        <is>
          <t>No term column on the record</t>
        </is>
      </c>
      <c r="J10" s="10" t="inlineStr">
        <is>
          <t>Cannot be worked out. The term table read the other way round, and blocked by the same join</t>
        </is>
      </c>
      <c r="K10" s="10" t="inlineStr">
        <is>
          <t>1 Utilization Report</t>
        </is>
      </c>
      <c r="L10" s="10" t="inlineStr">
        <is>
          <t>No term reference exists</t>
        </is>
      </c>
      <c r="M10" s="10" t="inlineStr">
        <is>
          <t>No</t>
        </is>
      </c>
      <c r="N10" s="10" t="inlineStr">
        <is>
          <t>No</t>
        </is>
      </c>
      <c r="O10" s="10" t="inlineStr">
        <is>
          <t>Blocked</t>
        </is>
      </c>
      <c r="P10" s="15" t="inlineStr">
        <is>
          <t>Needs new column or join</t>
        </is>
      </c>
      <c r="Q10" s="10" t="inlineStr">
        <is>
          <t>Ask the development team to add a term reference to the document row, or supply a term to library mapping list. Why: nothing links a term to a document, so no per term figure can be produced even once the file plan is located</t>
        </is>
      </c>
      <c r="R10" s="10" t="inlineStr"/>
      <c r="S10" s="10" t="inlineStr"/>
      <c r="T10" s="10" t="inlineStr"/>
    </row>
    <row r="11">
      <c r="A11" s="9" t="n">
        <v>7</v>
      </c>
      <c r="B11" s="10" t="inlineStr">
        <is>
          <t>Classification</t>
        </is>
      </c>
      <c r="C11" s="10" t="inlineStr">
        <is>
          <t>Records by business process</t>
        </is>
      </c>
      <c r="D11" s="10" t="inlineStr">
        <is>
          <t>Tile</t>
        </is>
      </c>
      <c r="E11" s="10" t="inlineStr">
        <is>
          <t>Records by business activity</t>
        </is>
      </c>
      <c r="F11" s="10" t="inlineStr">
        <is>
          <t>No source</t>
        </is>
      </c>
      <c r="G11" s="10" t="inlineStr">
        <is>
          <t>No file exists</t>
        </is>
      </c>
      <c r="H11" s="10" t="inlineStr">
        <is>
          <t>There is nothing to open. No system this report can reach holds this figure. See the question column for who to ask</t>
        </is>
      </c>
      <c r="I11" s="10" t="inlineStr">
        <is>
          <t>No column exists, and no definition exists either</t>
        </is>
      </c>
      <c r="J11" s="10" t="inlineStr">
        <is>
          <t>Cannot be worked out, for two separate reasons: the term join is missing, and nobody has said what a business process is in ADB terms</t>
        </is>
      </c>
      <c r="K11" s="10" t="inlineStr">
        <is>
          <t>None</t>
        </is>
      </c>
      <c r="L11" s="10" t="inlineStr">
        <is>
          <t>No column exists</t>
        </is>
      </c>
      <c r="M11" s="10" t="inlineStr">
        <is>
          <t>No</t>
        </is>
      </c>
      <c r="N11" s="10" t="inlineStr">
        <is>
          <t>No</t>
        </is>
      </c>
      <c r="O11" s="10" t="inlineStr">
        <is>
          <t>Blocked</t>
        </is>
      </c>
      <c r="P11" s="17" t="inlineStr">
        <is>
          <t>Decision needed</t>
        </is>
      </c>
      <c r="Q11" s="10" t="inlineStr">
        <is>
          <t>Ask what a business process is and how it relates to a file plan term. Why: the two are not the same thing, and it cannot be counted until somebody says what it counts</t>
        </is>
      </c>
      <c r="R11" s="10" t="inlineStr"/>
      <c r="S11" s="10" t="inlineStr"/>
      <c r="T11" s="10" t="inlineStr"/>
    </row>
  </sheetData>
  <autoFilter ref="A4:T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8" customWidth="1" min="3" max="3"/>
    <col width="9" customWidth="1" min="4" max="4"/>
    <col width="34" customWidth="1" min="5" max="5"/>
    <col width="18" customWidth="1" min="6" max="6"/>
    <col width="30" customWidth="1" min="7" max="7"/>
    <col width="62" customWidth="1" min="8" max="8"/>
    <col width="40" customWidth="1" min="9" max="9"/>
    <col width="60" customWidth="1" min="10" max="10"/>
    <col width="20" customWidth="1" min="11" max="11"/>
    <col width="28" customWidth="1" min="12" max="12"/>
    <col width="13" customWidth="1" min="13" max="13"/>
    <col width="15" customWidth="1" min="14" max="14"/>
    <col width="9" customWidth="1" min="15" max="15"/>
    <col width="24" customWidth="1" min="16" max="16"/>
    <col width="58" customWidth="1" min="17" max="17"/>
    <col width="46" customWidth="1" min="18" max="18"/>
    <col width="40" customWidth="1" min="19" max="19"/>
    <col width="69" customWidth="1" min="20" max="20"/>
  </cols>
  <sheetData>
    <row r="1" ht="20" customHeight="1">
      <c r="A1" s="5" t="inlineStr">
        <is>
          <t>Retention and Disposal Insights</t>
        </is>
      </c>
      <c r="B1" s="6" t="n"/>
      <c r="C1" s="6" t="n"/>
      <c r="D1" s="6" t="n"/>
      <c r="E1" s="6" t="n"/>
      <c r="F1" s="6" t="n"/>
      <c r="G1" s="6" t="n"/>
      <c r="H1" s="6" t="n"/>
      <c r="I1" s="6" t="n"/>
      <c r="J1" s="6" t="n"/>
      <c r="K1" s="6" t="n"/>
      <c r="L1" s="6" t="n"/>
      <c r="M1" s="6" t="n"/>
      <c r="N1" s="6" t="n"/>
      <c r="O1" s="6" t="n"/>
      <c r="P1" s="6" t="n"/>
      <c r="Q1" s="6" t="n"/>
      <c r="R1" s="6" t="n"/>
      <c r="S1" s="6" t="n"/>
      <c r="T1" s="6" t="n"/>
    </row>
    <row r="2" ht="16" customHeight="1">
      <c r="A2" s="7" t="inlineStr">
        <is>
          <t>Client design: PPT s32, s44 to s46. Filter the Status column to see what can be built now.</t>
        </is>
      </c>
      <c r="B2" s="6" t="n"/>
      <c r="C2" s="6" t="n"/>
      <c r="D2" s="6" t="n"/>
      <c r="E2" s="6" t="n"/>
      <c r="F2" s="6" t="n"/>
      <c r="G2" s="6" t="n"/>
      <c r="H2" s="6" t="n"/>
      <c r="I2" s="6" t="n"/>
      <c r="J2" s="6" t="n"/>
      <c r="K2" s="6" t="n"/>
      <c r="L2" s="6" t="n"/>
      <c r="M2" s="6" t="n"/>
      <c r="N2" s="6" t="n"/>
      <c r="O2" s="6" t="n"/>
      <c r="P2" s="6" t="n"/>
      <c r="Q2" s="6" t="n"/>
      <c r="R2" s="6" t="n"/>
      <c r="S2" s="6" t="n"/>
      <c r="T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Report or file to open</t>
        </is>
      </c>
      <c r="H4" s="8" t="inlineStr">
        <is>
          <t>Step by step: how to get that file</t>
        </is>
      </c>
      <c r="I4" s="8" t="inlineStr">
        <is>
          <t>Exact column heading in that file</t>
        </is>
      </c>
      <c r="J4" s="8" t="inlineStr">
        <is>
          <t>How the number is worked out</t>
        </is>
      </c>
      <c r="K4" s="8" t="inlineStr">
        <is>
          <t>Database table</t>
        </is>
      </c>
      <c r="L4" s="8" t="inlineStr">
        <is>
          <t>Database column</t>
        </is>
      </c>
      <c r="M4" s="8" t="inlineStr">
        <is>
          <t>In the design?</t>
        </is>
      </c>
      <c r="N4" s="8" t="inlineStr">
        <is>
          <t>In the tenant today?</t>
        </is>
      </c>
      <c r="O4" s="8" t="inlineStr">
        <is>
          <t>Effort</t>
        </is>
      </c>
      <c r="P4" s="8" t="inlineStr">
        <is>
          <t>Status</t>
        </is>
      </c>
      <c r="Q4" s="8" t="inlineStr">
        <is>
          <t>Question to ask the client, and why</t>
        </is>
      </c>
      <c r="R4" s="8" t="inlineStr">
        <is>
          <t>Questions</t>
        </is>
      </c>
      <c r="S4" s="8" t="inlineStr">
        <is>
          <t>What we found</t>
        </is>
      </c>
      <c r="T4" s="8" t="inlineStr">
        <is>
          <t>FINAL REMARKS</t>
        </is>
      </c>
    </row>
    <row r="5">
      <c r="A5" s="9" t="n">
        <v>1</v>
      </c>
      <c r="B5" s="10" t="inlineStr">
        <is>
          <t>Structure</t>
        </is>
      </c>
      <c r="C5" s="10" t="inlineStr">
        <is>
          <t>Permanent and temporary screens</t>
        </is>
      </c>
      <c r="D5" s="10" t="inlineStr">
        <is>
          <t>Filter</t>
        </is>
      </c>
      <c r="E5" s="10" t="inlineStr">
        <is>
          <t>The two retention types</t>
        </is>
      </c>
      <c r="F5" s="10" t="inlineStr">
        <is>
          <t>EDRMS database</t>
        </is>
      </c>
      <c r="G5" s="10" t="inlineStr">
        <is>
          <t>The EDRMS database, drm-npr, table public."Records"</t>
        </is>
      </c>
      <c r="H5"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5" s="10" t="inlineStr">
        <is>
          <t>'EDRMSDuration'</t>
        </is>
      </c>
      <c r="J5" s="10" t="inlineStr">
        <is>
          <t>Permanent is WHERE EDRMSDuration = 'Permanent'. Temporary is every other labelled record. The column is TEXT so it can hold Permanent next to 10, and must be cast before any arithmetic on the number</t>
        </is>
      </c>
      <c r="K5" s="10" t="inlineStr">
        <is>
          <t>1 Utilization Report</t>
        </is>
      </c>
      <c r="L5" s="10" t="inlineStr">
        <is>
          <t>EDRMSDuration</t>
        </is>
      </c>
      <c r="M5" s="10" t="inlineStr">
        <is>
          <t>Yes</t>
        </is>
      </c>
      <c r="N5" s="10" t="inlineStr">
        <is>
          <t>Yes</t>
        </is>
      </c>
      <c r="O5" s="10" t="inlineStr">
        <is>
          <t>Easy</t>
        </is>
      </c>
      <c r="P5" s="11" t="inlineStr">
        <is>
          <t>Buildable now</t>
        </is>
      </c>
      <c r="Q5" s="10" t="inlineStr"/>
      <c r="R5" s="10" t="inlineStr"/>
      <c r="S5" s="10" t="inlineStr"/>
      <c r="T5" s="10" t="inlineStr"/>
    </row>
    <row r="6">
      <c r="A6" s="9" t="n">
        <v>2</v>
      </c>
      <c r="B6" s="10" t="inlineStr">
        <is>
          <t>Retention</t>
        </is>
      </c>
      <c r="C6" s="10" t="inlineStr">
        <is>
          <t>Records due, 30, 90 and 12 month windows</t>
        </is>
      </c>
      <c r="D6" s="10" t="inlineStr">
        <is>
          <t>Tile and chart</t>
        </is>
      </c>
      <c r="E6" s="10" t="inlineStr">
        <is>
          <t>What falls due in each window</t>
        </is>
      </c>
      <c r="F6" s="10" t="inlineStr">
        <is>
          <t>EDRMS database</t>
        </is>
      </c>
      <c r="G6" s="10" t="inlineStr">
        <is>
          <t>The EDRMS database, drm-npr, table public."Records"</t>
        </is>
      </c>
      <c r="H6"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6" s="10" t="inlineStr">
        <is>
          <t>'EDRMSDueDateForDisposal'</t>
        </is>
      </c>
      <c r="J6" s="10" t="inlineStr">
        <is>
          <t>COUNT(*) where the due date falls inside each window from today. The three windows must NEST: the 30 day count cannot exceed the 90, which cannot exceed the 12 month. If they do not nest, the query is wrong</t>
        </is>
      </c>
      <c r="K6" s="10" t="inlineStr">
        <is>
          <t>1 Utilization Report</t>
        </is>
      </c>
      <c r="L6" s="10" t="inlineStr">
        <is>
          <t>EDRMSDueDateForDisposal</t>
        </is>
      </c>
      <c r="M6" s="10" t="inlineStr">
        <is>
          <t>Yes</t>
        </is>
      </c>
      <c r="N6" s="10" t="inlineStr">
        <is>
          <t>Yes</t>
        </is>
      </c>
      <c r="O6" s="10" t="inlineStr">
        <is>
          <t>Easy</t>
        </is>
      </c>
      <c r="P6" s="11" t="inlineStr">
        <is>
          <t>Buildable now</t>
        </is>
      </c>
      <c r="Q6" s="10" t="inlineStr">
        <is>
          <t>Confirm the 12 month window is the one they want on the tile, and that the 30 day, 90 day and 12 month figures should nest inside one another</t>
        </is>
      </c>
      <c r="R6" s="10" t="inlineStr"/>
      <c r="S6" s="10" t="inlineStr"/>
      <c r="T6" s="10" t="inlineStr"/>
    </row>
    <row r="7">
      <c r="A7" s="9" t="n">
        <v>3</v>
      </c>
      <c r="B7" s="10" t="inlineStr">
        <is>
          <t>Retention</t>
        </is>
      </c>
      <c r="C7" s="10" t="inlineStr">
        <is>
          <t>Retention label and duration per term</t>
        </is>
      </c>
      <c r="D7" s="10" t="inlineStr">
        <is>
          <t>Table column</t>
        </is>
      </c>
      <c r="E7" s="10" t="inlineStr">
        <is>
          <t>How long each class is kept</t>
        </is>
      </c>
      <c r="F7" s="10" t="inlineStr">
        <is>
          <t>SharePoint list</t>
        </is>
      </c>
      <c r="G7" s="10" t="inlineStr">
        <is>
          <t>Purview file plan</t>
        </is>
      </c>
      <c r="H7" s="10" t="inlineStr">
        <is>
          <t>1. Go to https://purview.microsoft.com
2. Open Solutions, Records management, then File plan
3. Click Export to download the label list. 53 labels in the test tenant, a flat list with no hierarchy</t>
        </is>
      </c>
      <c r="I7" s="10" t="inlineStr">
        <is>
          <t>The label name and its retention period from the file plan export</t>
        </is>
      </c>
      <c r="J7" s="10" t="inlineStr">
        <is>
          <t>Group the records by EDRMSRetentionLabel and read the duration from EDRMSDuration. Purview holds 53 labels in the test tenant, as a flat list with no hierarchy</t>
        </is>
      </c>
      <c r="K7" s="10" t="inlineStr">
        <is>
          <t>1 Utilization Report</t>
        </is>
      </c>
      <c r="L7" s="10" t="inlineStr">
        <is>
          <t>EDRMSRetentionLabel, EDRMSDuration</t>
        </is>
      </c>
      <c r="M7" s="10" t="inlineStr">
        <is>
          <t>Yes</t>
        </is>
      </c>
      <c r="N7" s="10" t="inlineStr">
        <is>
          <t>Yes</t>
        </is>
      </c>
      <c r="O7" s="10" t="inlineStr">
        <is>
          <t>Easy</t>
        </is>
      </c>
      <c r="P7" s="11" t="inlineStr">
        <is>
          <t>Buildable now</t>
        </is>
      </c>
      <c r="Q7" s="10" t="inlineStr"/>
      <c r="R7" s="10" t="inlineStr"/>
      <c r="S7" s="10" t="inlineStr"/>
      <c r="T7" s="10" t="inlineStr"/>
    </row>
    <row r="8">
      <c r="A8" s="9" t="n">
        <v>4</v>
      </c>
      <c r="B8" s="10" t="inlineStr">
        <is>
          <t>Retention</t>
        </is>
      </c>
      <c r="C8" s="10" t="inlineStr">
        <is>
          <t>Beyond retention period</t>
        </is>
      </c>
      <c r="D8" s="10" t="inlineStr">
        <is>
          <t>Tile</t>
        </is>
      </c>
      <c r="E8" s="10" t="inlineStr">
        <is>
          <t>Records past their disposal date</t>
        </is>
      </c>
      <c r="F8" s="10" t="inlineStr">
        <is>
          <t>EDRMS database</t>
        </is>
      </c>
      <c r="G8" s="10" t="inlineStr">
        <is>
          <t>The EDRMS database, drm-npr, table public."Records"</t>
        </is>
      </c>
      <c r="H8"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8" s="10" t="inlineStr">
        <is>
          <t>'EDRMSDueDateForDisposal'</t>
        </is>
      </c>
      <c r="J8" s="10" t="inlineStr">
        <is>
          <t>COUNT(*) where the due date is earlier than today. This means the date has PASSED, not that action is outstanding, because nothing records whether a disposal was carried out</t>
        </is>
      </c>
      <c r="K8" s="10" t="inlineStr">
        <is>
          <t>1 Utilization Report</t>
        </is>
      </c>
      <c r="L8" s="10" t="inlineStr">
        <is>
          <t>EDRMSDueDateForDisposal</t>
        </is>
      </c>
      <c r="M8" s="10" t="inlineStr">
        <is>
          <t>Yes</t>
        </is>
      </c>
      <c r="N8" s="10" t="inlineStr">
        <is>
          <t>Yes</t>
        </is>
      </c>
      <c r="O8" s="10" t="inlineStr">
        <is>
          <t>Easy</t>
        </is>
      </c>
      <c r="P8" s="11" t="inlineStr">
        <is>
          <t>Buildable now</t>
        </is>
      </c>
      <c r="Q8" s="10" t="inlineStr">
        <is>
          <t>Warn that this counts dates passed, not action outstanding. Why: the two read alike and are not the same</t>
        </is>
      </c>
      <c r="R8" s="10" t="inlineStr"/>
      <c r="S8" s="10" t="inlineStr"/>
      <c r="T8" s="10" t="inlineStr"/>
    </row>
    <row r="9">
      <c r="A9" s="9" t="n">
        <v>5</v>
      </c>
      <c r="B9" s="10" t="inlineStr">
        <is>
          <t>Compliance</t>
        </is>
      </c>
      <c r="C9" s="10" t="inlineStr">
        <is>
          <t>Records with and without a retention schedule</t>
        </is>
      </c>
      <c r="D9" s="10" t="inlineStr">
        <is>
          <t>Tile</t>
        </is>
      </c>
      <c r="E9" s="10" t="inlineStr">
        <is>
          <t>Whether a record can be scheduled</t>
        </is>
      </c>
      <c r="F9" s="10" t="inlineStr">
        <is>
          <t>EDRMS database</t>
        </is>
      </c>
      <c r="G9" s="10" t="inlineStr">
        <is>
          <t>The EDRMS database, drm-npr, table public."Records"</t>
        </is>
      </c>
      <c r="H9" s="10" t="inlineStr">
        <is>
          <t>1. Connect to the drm-npr PostgreSQL database with any SQL client
2. The table is public."Records", quoted because of the capital R
3. It holds DECLARED RECORDS ONLY, about 1,990 rows in UAT. There is no row for a document that was never declared, which is why every rate needs the scan built first</t>
        </is>
      </c>
      <c r="I9" s="10" t="inlineStr">
        <is>
          <t>'EDRMSRetentionLabel'</t>
        </is>
      </c>
      <c r="J9" s="10" t="inlineStr">
        <is>
          <t>COUNT where the label IS NULL against IS NOT NULL. The two must add up to the total declared record count. A record with no label has no due date and sits outside every disposal figure</t>
        </is>
      </c>
      <c r="K9" s="10" t="inlineStr">
        <is>
          <t>1 Utilization Report</t>
        </is>
      </c>
      <c r="L9" s="10" t="inlineStr">
        <is>
          <t>EDRMSRetentionLabel</t>
        </is>
      </c>
      <c r="M9" s="10" t="inlineStr">
        <is>
          <t>Yes</t>
        </is>
      </c>
      <c r="N9" s="10" t="inlineStr">
        <is>
          <t>Yes</t>
        </is>
      </c>
      <c r="O9" s="10" t="inlineStr">
        <is>
          <t>Easy</t>
        </is>
      </c>
      <c r="P9" s="11" t="inlineStr">
        <is>
          <t>Buildable now</t>
        </is>
      </c>
      <c r="Q9" s="10" t="inlineStr"/>
      <c r="R9" s="10" t="inlineStr"/>
      <c r="S9" s="10" t="inlineStr"/>
      <c r="T9" s="10" t="inlineStr"/>
    </row>
    <row r="10">
      <c r="A10" s="9" t="n">
        <v>6</v>
      </c>
      <c r="B10" s="10" t="inlineStr">
        <is>
          <t>Compliance</t>
        </is>
      </c>
      <c r="C10" s="10" t="inlineStr">
        <is>
          <t>Libraries without a mapped retention schedule</t>
        </is>
      </c>
      <c r="D10" s="10" t="inlineStr">
        <is>
          <t>Tile</t>
        </is>
      </c>
      <c r="E10" s="10" t="inlineStr">
        <is>
          <t>Unmapped libraries</t>
        </is>
      </c>
      <c r="F10" s="10" t="inlineStr">
        <is>
          <t>SharePoint list</t>
        </is>
      </c>
      <c r="G10" s="10" t="inlineStr">
        <is>
          <t>Retention Label Mapping list, a SharePoint list</t>
        </is>
      </c>
      <c r="H10" s="10" t="inlineStr">
        <is>
          <t>1. Open the EDRMS site that holds the Retention Label Mapping list
2. Open the list and check its columns first: does it key a library by ListId or by name?
3. Export to CSV from the list toolbar</t>
        </is>
      </c>
      <c r="I10" s="10" t="inlineStr">
        <is>
          <t>Whatever key the list uses for a library, either ListId or a name</t>
        </is>
      </c>
      <c r="J10" s="10" t="inlineStr">
        <is>
          <t>List every library from Graph, list the libraries present in the mapping list, and count the difference. DO THIS CHECK FIRST: open the list and see whether it keys by ListId or by name. By ListId the metric goes straight in. By name the join is too fragile to trust, because library names repeat across sites</t>
        </is>
      </c>
      <c r="K10" s="10" t="inlineStr">
        <is>
          <t>1 Utilization Report</t>
        </is>
      </c>
      <c r="L10" s="10" t="inlineStr">
        <is>
          <t>ADBLibraryCategory, ListId</t>
        </is>
      </c>
      <c r="M10" s="10" t="inlineStr">
        <is>
          <t>Yes</t>
        </is>
      </c>
      <c r="N10" s="10" t="inlineStr">
        <is>
          <t>Unknown</t>
        </is>
      </c>
      <c r="O10" s="10" t="inlineStr">
        <is>
          <t>Easy</t>
        </is>
      </c>
      <c r="P10" s="17" t="inlineStr">
        <is>
          <t>Decision needed</t>
        </is>
      </c>
      <c r="Q10" s="10" t="inlineStr">
        <is>
          <t>Check the mapping list's key yourself before asking anyone. Why: it decides whether this metric is safe or fragile, and it is a five minute check</t>
        </is>
      </c>
      <c r="R10" s="10" t="inlineStr"/>
      <c r="S10" s="10" t="inlineStr"/>
      <c r="T10" s="10" t="inlineStr"/>
    </row>
    <row r="11">
      <c r="A11" s="9" t="n">
        <v>7</v>
      </c>
      <c r="B11" s="10" t="inlineStr">
        <is>
          <t>Terms</t>
        </is>
      </c>
      <c r="C11" s="10" t="inlineStr">
        <is>
          <t>Departments and libraries provisioned per term</t>
        </is>
      </c>
      <c r="D11" s="10" t="inlineStr">
        <is>
          <t>Table column</t>
        </is>
      </c>
      <c r="E11" s="10" t="inlineStr">
        <is>
          <t>Reach of each term</t>
        </is>
      </c>
      <c r="F11" s="10" t="inlineStr">
        <is>
          <t>No source</t>
        </is>
      </c>
      <c r="G11" s="10" t="inlineStr">
        <is>
          <t>No file exists</t>
        </is>
      </c>
      <c r="H11" s="10" t="inlineStr">
        <is>
          <t>There is nothing to open. No system this report can reach holds this figure. See the question column for who to ask</t>
        </is>
      </c>
      <c r="I11" s="10" t="inlineStr">
        <is>
          <t>No join key exists</t>
        </is>
      </c>
      <c r="J11" s="10" t="inlineStr">
        <is>
          <t>Cannot be worked out. Same missing link as the file plan</t>
        </is>
      </c>
      <c r="K11" s="10" t="inlineStr">
        <is>
          <t>4 File Plan</t>
        </is>
      </c>
      <c r="L11" s="10" t="inlineStr">
        <is>
          <t>No join key exists</t>
        </is>
      </c>
      <c r="M11" s="10" t="inlineStr">
        <is>
          <t>No</t>
        </is>
      </c>
      <c r="N11" s="10" t="inlineStr">
        <is>
          <t>No</t>
        </is>
      </c>
      <c r="O11" s="10" t="inlineStr">
        <is>
          <t>Blocked</t>
        </is>
      </c>
      <c r="P11" s="15" t="inlineStr">
        <is>
          <t>Needs new column or join</t>
        </is>
      </c>
      <c r="Q11" s="10" t="inlineStr">
        <is>
          <t>Ask the development team to add a term reference to the document row, or supply a term to library mapping list. Why: nothing links a term to a document, so no per term figure can be produced even once the file plan is located</t>
        </is>
      </c>
      <c r="R11" s="10" t="inlineStr"/>
      <c r="S11" s="10" t="inlineStr"/>
      <c r="T11" s="10" t="inlineStr"/>
    </row>
    <row r="12">
      <c r="A12" s="9" t="n">
        <v>8</v>
      </c>
      <c r="B12" s="10" t="inlineStr">
        <is>
          <t>Disposal</t>
        </is>
      </c>
      <c r="C12" s="10" t="inlineStr">
        <is>
          <t>Records disposed, awaiting approval, backlog</t>
        </is>
      </c>
      <c r="D12" s="10" t="inlineStr">
        <is>
          <t>Tile</t>
        </is>
      </c>
      <c r="E12" s="10" t="inlineStr">
        <is>
          <t>What has happened</t>
        </is>
      </c>
      <c r="F12" s="10" t="inlineStr">
        <is>
          <t>No source</t>
        </is>
      </c>
      <c r="G12" s="10" t="inlineStr">
        <is>
          <t>No file exists</t>
        </is>
      </c>
      <c r="H12" s="10" t="inlineStr">
        <is>
          <t>There is nothing to open. No system this report can reach holds this figure. See the question column for who to ask</t>
        </is>
      </c>
      <c r="I12" s="10" t="inlineStr">
        <is>
          <t>No column exists in the application or the database</t>
        </is>
      </c>
      <c r="J12" s="10" t="inlineStr">
        <is>
          <t>Cannot be worked out. Nothing records that a disposal was carried out</t>
        </is>
      </c>
      <c r="K12" s="10" t="inlineStr">
        <is>
          <t>1 Utilization Report</t>
        </is>
      </c>
      <c r="L12" s="10" t="inlineStr">
        <is>
          <t>DisposalStatus was removed from the design</t>
        </is>
      </c>
      <c r="M12" s="10" t="inlineStr">
        <is>
          <t>No, deliberately</t>
        </is>
      </c>
      <c r="N12" s="10" t="inlineStr">
        <is>
          <t>No</t>
        </is>
      </c>
      <c r="O12" s="10" t="inlineStr">
        <is>
          <t>Blocked</t>
        </is>
      </c>
      <c r="P12" s="16" t="inlineStr">
        <is>
          <t>Needs application change</t>
        </is>
      </c>
      <c r="Q12" s="10" t="inlineStr">
        <is>
          <t>Raise a change request for a disposal status field: status, approver, and date disposed. Why: nothing records that a disposal happened, so every completion figure is unanswerable</t>
        </is>
      </c>
      <c r="R12" s="10" t="inlineStr"/>
      <c r="S12" s="10" t="inlineStr"/>
      <c r="T12" s="10" t="inlineStr"/>
    </row>
    <row r="13">
      <c r="A13" s="9" t="n">
        <v>9</v>
      </c>
      <c r="B13" s="10" t="inlineStr">
        <is>
          <t>Disposal</t>
        </is>
      </c>
      <c r="C13" s="10" t="inlineStr">
        <is>
          <t>Physical records overdue for transfer</t>
        </is>
      </c>
      <c r="D13" s="10" t="inlineStr">
        <is>
          <t>Tile</t>
        </is>
      </c>
      <c r="E13" s="10" t="inlineStr">
        <is>
          <t>Counterparts not yet with RAC</t>
        </is>
      </c>
      <c r="F13" s="10" t="inlineStr">
        <is>
          <t>No source</t>
        </is>
      </c>
      <c r="G13" s="10" t="inlineStr">
        <is>
          <t>No file exists</t>
        </is>
      </c>
      <c r="H13" s="10" t="inlineStr">
        <is>
          <t>There is nothing to open. No system this report can reach holds this figure. See the question column for who to ask</t>
        </is>
      </c>
      <c r="I13" s="10" t="inlineStr">
        <is>
          <t>No column exists</t>
        </is>
      </c>
      <c r="J13" s="10" t="inlineStr">
        <is>
          <t>Cannot be worked out. Needs the RAC holdings system</t>
        </is>
      </c>
      <c r="K13" s="10" t="inlineStr">
        <is>
          <t>None</t>
        </is>
      </c>
      <c r="L13" s="10" t="inlineStr">
        <is>
          <t>No column exists</t>
        </is>
      </c>
      <c r="M13" s="10" t="inlineStr">
        <is>
          <t>No</t>
        </is>
      </c>
      <c r="N13" s="10" t="inlineStr">
        <is>
          <t>No</t>
        </is>
      </c>
      <c r="O13" s="10" t="inlineStr">
        <is>
          <t>Blocked</t>
        </is>
      </c>
      <c r="P13" s="13" t="inlineStr">
        <is>
          <t>Needs new data source</t>
        </is>
      </c>
      <c r="Q13"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R13" s="10" t="inlineStr"/>
      <c r="S13" s="10" t="inlineStr"/>
      <c r="T13" s="10" t="inlineStr"/>
    </row>
  </sheetData>
  <autoFilter ref="A4:T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8" customWidth="1" min="3" max="3"/>
    <col width="9" customWidth="1" min="4" max="4"/>
    <col width="34" customWidth="1" min="5" max="5"/>
    <col width="18" customWidth="1" min="6" max="6"/>
    <col width="30" customWidth="1" min="7" max="7"/>
    <col width="62" customWidth="1" min="8" max="8"/>
    <col width="40" customWidth="1" min="9" max="9"/>
    <col width="60" customWidth="1" min="10" max="10"/>
    <col width="20" customWidth="1" min="11" max="11"/>
    <col width="28" customWidth="1" min="12" max="12"/>
    <col width="13" customWidth="1" min="13" max="13"/>
    <col width="15" customWidth="1" min="14" max="14"/>
    <col width="9" customWidth="1" min="15" max="15"/>
    <col width="24" customWidth="1" min="16" max="16"/>
    <col width="58" customWidth="1" min="17" max="17"/>
    <col width="46" customWidth="1" min="18" max="18"/>
    <col width="40" customWidth="1" min="19" max="19"/>
    <col width="69" customWidth="1" min="20" max="20"/>
  </cols>
  <sheetData>
    <row r="1" ht="20" customHeight="1">
      <c r="A1" s="5" t="inlineStr">
        <is>
          <t>Records and Archive Holdings</t>
        </is>
      </c>
      <c r="B1" s="6" t="n"/>
      <c r="C1" s="6" t="n"/>
      <c r="D1" s="6" t="n"/>
      <c r="E1" s="6" t="n"/>
      <c r="F1" s="6" t="n"/>
      <c r="G1" s="6" t="n"/>
      <c r="H1" s="6" t="n"/>
      <c r="I1" s="6" t="n"/>
      <c r="J1" s="6" t="n"/>
      <c r="K1" s="6" t="n"/>
      <c r="L1" s="6" t="n"/>
      <c r="M1" s="6" t="n"/>
      <c r="N1" s="6" t="n"/>
      <c r="O1" s="6" t="n"/>
      <c r="P1" s="6" t="n"/>
      <c r="Q1" s="6" t="n"/>
      <c r="R1" s="6" t="n"/>
      <c r="S1" s="6" t="n"/>
      <c r="T1" s="6" t="n"/>
    </row>
    <row r="2" ht="16" customHeight="1">
      <c r="A2" s="7" t="inlineStr">
        <is>
          <t>Client design: PPT s33, s67 to s69. Filter the Status column to see what can be built now.</t>
        </is>
      </c>
      <c r="B2" s="6" t="n"/>
      <c r="C2" s="6" t="n"/>
      <c r="D2" s="6" t="n"/>
      <c r="E2" s="6" t="n"/>
      <c r="F2" s="6" t="n"/>
      <c r="G2" s="6" t="n"/>
      <c r="H2" s="6" t="n"/>
      <c r="I2" s="6" t="n"/>
      <c r="J2" s="6" t="n"/>
      <c r="K2" s="6" t="n"/>
      <c r="L2" s="6" t="n"/>
      <c r="M2" s="6" t="n"/>
      <c r="N2" s="6" t="n"/>
      <c r="O2" s="6" t="n"/>
      <c r="P2" s="6" t="n"/>
      <c r="Q2" s="6" t="n"/>
      <c r="R2" s="6" t="n"/>
      <c r="S2" s="6" t="n"/>
      <c r="T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Report or file to open</t>
        </is>
      </c>
      <c r="H4" s="8" t="inlineStr">
        <is>
          <t>Step by step: how to get that file</t>
        </is>
      </c>
      <c r="I4" s="8" t="inlineStr">
        <is>
          <t>Exact column heading in that file</t>
        </is>
      </c>
      <c r="J4" s="8" t="inlineStr">
        <is>
          <t>How the number is worked out</t>
        </is>
      </c>
      <c r="K4" s="8" t="inlineStr">
        <is>
          <t>Database table</t>
        </is>
      </c>
      <c r="L4" s="8" t="inlineStr">
        <is>
          <t>Database column</t>
        </is>
      </c>
      <c r="M4" s="8" t="inlineStr">
        <is>
          <t>In the design?</t>
        </is>
      </c>
      <c r="N4" s="8" t="inlineStr">
        <is>
          <t>In the tenant today?</t>
        </is>
      </c>
      <c r="O4" s="8" t="inlineStr">
        <is>
          <t>Effort</t>
        </is>
      </c>
      <c r="P4" s="8" t="inlineStr">
        <is>
          <t>Status</t>
        </is>
      </c>
      <c r="Q4" s="8" t="inlineStr">
        <is>
          <t>Question to ask the client, and why</t>
        </is>
      </c>
      <c r="R4" s="8" t="inlineStr">
        <is>
          <t>Questions</t>
        </is>
      </c>
      <c r="S4" s="8" t="inlineStr">
        <is>
          <t>What we found</t>
        </is>
      </c>
      <c r="T4" s="8" t="inlineStr">
        <is>
          <t>FINAL REMARKS</t>
        </is>
      </c>
    </row>
    <row r="5">
      <c r="A5" s="9" t="n">
        <v>1</v>
      </c>
      <c r="B5" s="10" t="inlineStr">
        <is>
          <t>Storage</t>
        </is>
      </c>
      <c r="C5" s="10" t="inlineStr">
        <is>
          <t>Boxes and folders by location</t>
        </is>
      </c>
      <c r="D5" s="10" t="inlineStr">
        <is>
          <t>Table</t>
        </is>
      </c>
      <c r="E5" s="10" t="inlineStr">
        <is>
          <t>Physical holdings per location</t>
        </is>
      </c>
      <c r="F5" s="10" t="inlineStr">
        <is>
          <t>No source</t>
        </is>
      </c>
      <c r="G5" s="10" t="inlineStr">
        <is>
          <t>No file exists</t>
        </is>
      </c>
      <c r="H5" s="10" t="inlineStr">
        <is>
          <t>There is nothing to open. No system this report can reach holds this figure. See the question column for who to ask</t>
        </is>
      </c>
      <c r="I5" s="10" t="inlineStr">
        <is>
          <t>No file exists. A PhysicalRecords table was designed and never built</t>
        </is>
      </c>
      <c r="J5" s="10" t="inlineStr">
        <is>
          <t>Cannot be worked out. There is nothing to open and nothing to count</t>
        </is>
      </c>
      <c r="K5" s="10" t="inlineStr">
        <is>
          <t>None, designed not built</t>
        </is>
      </c>
      <c r="L5" s="10" t="inlineStr">
        <is>
          <t>No column exists</t>
        </is>
      </c>
      <c r="M5" s="10" t="inlineStr">
        <is>
          <t>Designed, not built</t>
        </is>
      </c>
      <c r="N5" s="10" t="inlineStr">
        <is>
          <t>No</t>
        </is>
      </c>
      <c r="O5" s="10" t="inlineStr">
        <is>
          <t>Blocked</t>
        </is>
      </c>
      <c r="P5" s="13" t="inlineStr">
        <is>
          <t>Needs new data source</t>
        </is>
      </c>
      <c r="Q5"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R5" s="10" t="inlineStr"/>
      <c r="S5" s="10" t="inlineStr"/>
      <c r="T5" s="10" t="inlineStr"/>
    </row>
    <row r="6">
      <c r="A6" s="9" t="n">
        <v>2</v>
      </c>
      <c r="B6" s="10" t="inlineStr">
        <is>
          <t>Storage</t>
        </is>
      </c>
      <c r="C6" s="10" t="inlineStr">
        <is>
          <t>Requests and requestors</t>
        </is>
      </c>
      <c r="D6" s="10" t="inlineStr">
        <is>
          <t>Table column</t>
        </is>
      </c>
      <c r="E6" s="10" t="inlineStr">
        <is>
          <t>Who is depositing records</t>
        </is>
      </c>
      <c r="F6" s="10" t="inlineStr">
        <is>
          <t>No source</t>
        </is>
      </c>
      <c r="G6" s="10" t="inlineStr">
        <is>
          <t>No file exists</t>
        </is>
      </c>
      <c r="H6" s="10" t="inlineStr">
        <is>
          <t>There is nothing to open. No system this report can reach holds this figure. See the question column for who to ask</t>
        </is>
      </c>
      <c r="I6" s="10" t="inlineStr">
        <is>
          <t>No file exists</t>
        </is>
      </c>
      <c r="J6" s="10" t="inlineStr">
        <is>
          <t>Cannot be worked out</t>
        </is>
      </c>
      <c r="K6" s="10" t="inlineStr">
        <is>
          <t>None</t>
        </is>
      </c>
      <c r="L6" s="10" t="inlineStr">
        <is>
          <t>No column exists</t>
        </is>
      </c>
      <c r="M6" s="10" t="inlineStr">
        <is>
          <t>No</t>
        </is>
      </c>
      <c r="N6" s="10" t="inlineStr">
        <is>
          <t>No</t>
        </is>
      </c>
      <c r="O6" s="10" t="inlineStr">
        <is>
          <t>Blocked</t>
        </is>
      </c>
      <c r="P6" s="13" t="inlineStr">
        <is>
          <t>Needs new data source</t>
        </is>
      </c>
      <c r="Q6"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R6" s="10" t="inlineStr"/>
      <c r="S6" s="10" t="inlineStr"/>
      <c r="T6" s="10" t="inlineStr"/>
    </row>
    <row r="7">
      <c r="A7" s="9" t="n">
        <v>3</v>
      </c>
      <c r="B7" s="10" t="inlineStr">
        <is>
          <t>Storage</t>
        </is>
      </c>
      <c r="C7" s="10" t="inlineStr">
        <is>
          <t>Capacity used per location</t>
        </is>
      </c>
      <c r="D7" s="10" t="inlineStr">
        <is>
          <t>Chart</t>
        </is>
      </c>
      <c r="E7" s="10" t="inlineStr">
        <is>
          <t>How full each room is</t>
        </is>
      </c>
      <c r="F7" s="10" t="inlineStr">
        <is>
          <t>No source</t>
        </is>
      </c>
      <c r="G7" s="10" t="inlineStr">
        <is>
          <t>No file exists</t>
        </is>
      </c>
      <c r="H7" s="10" t="inlineStr">
        <is>
          <t>There is nothing to open. No system this report can reach holds this figure. See the question column for who to ask</t>
        </is>
      </c>
      <c r="I7" s="10" t="inlineStr">
        <is>
          <t>No file exists</t>
        </is>
      </c>
      <c r="J7" s="10" t="inlineStr">
        <is>
          <t>Cannot be worked out. Facility data, held by whoever runs the rooms</t>
        </is>
      </c>
      <c r="K7" s="10" t="inlineStr">
        <is>
          <t>None</t>
        </is>
      </c>
      <c r="L7" s="10" t="inlineStr">
        <is>
          <t>No column exists</t>
        </is>
      </c>
      <c r="M7" s="10" t="inlineStr">
        <is>
          <t>No</t>
        </is>
      </c>
      <c r="N7" s="10" t="inlineStr">
        <is>
          <t>No</t>
        </is>
      </c>
      <c r="O7" s="10" t="inlineStr">
        <is>
          <t>Blocked</t>
        </is>
      </c>
      <c r="P7" s="13" t="inlineStr">
        <is>
          <t>Needs new data source</t>
        </is>
      </c>
      <c r="Q7"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 Answer their direct question: capacity can be displayed the moment somebody holds the figure</t>
        </is>
      </c>
      <c r="R7" s="10" t="inlineStr"/>
      <c r="S7" s="10" t="inlineStr"/>
      <c r="T7" s="10" t="inlineStr"/>
    </row>
    <row r="8">
      <c r="A8" s="9" t="n">
        <v>4</v>
      </c>
      <c r="B8" s="10" t="inlineStr">
        <is>
          <t>Retrieval</t>
        </is>
      </c>
      <c r="C8" s="10" t="inlineStr">
        <is>
          <t>Boxes and folders retrieved, status</t>
        </is>
      </c>
      <c r="D8" s="10" t="inlineStr">
        <is>
          <t>Table</t>
        </is>
      </c>
      <c r="E8" s="10" t="inlineStr">
        <is>
          <t>Records taken out</t>
        </is>
      </c>
      <c r="F8" s="10" t="inlineStr">
        <is>
          <t>No source</t>
        </is>
      </c>
      <c r="G8" s="10" t="inlineStr">
        <is>
          <t>No file exists</t>
        </is>
      </c>
      <c r="H8" s="10" t="inlineStr">
        <is>
          <t>There is nothing to open. No system this report can reach holds this figure. See the question column for who to ask</t>
        </is>
      </c>
      <c r="I8" s="10" t="inlineStr">
        <is>
          <t>No file exists. Slide 67 says retrieval is processed in eServe</t>
        </is>
      </c>
      <c r="J8" s="10" t="inlineStr">
        <is>
          <t>Cannot be worked out. eServe is a separate system with no established feed</t>
        </is>
      </c>
      <c r="K8" s="10" t="inlineStr">
        <is>
          <t>None</t>
        </is>
      </c>
      <c r="L8" s="10" t="inlineStr">
        <is>
          <t>No column exists</t>
        </is>
      </c>
      <c r="M8" s="10" t="inlineStr">
        <is>
          <t>No</t>
        </is>
      </c>
      <c r="N8" s="10" t="inlineStr">
        <is>
          <t>No</t>
        </is>
      </c>
      <c r="O8" s="10" t="inlineStr">
        <is>
          <t>Blocked</t>
        </is>
      </c>
      <c r="P8" s="13" t="inlineStr">
        <is>
          <t>Needs new data source</t>
        </is>
      </c>
      <c r="Q8"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R8" s="10" t="inlineStr"/>
      <c r="S8" s="10" t="inlineStr"/>
      <c r="T8" s="10" t="inlineStr"/>
    </row>
    <row r="9">
      <c r="A9" s="9" t="n">
        <v>5</v>
      </c>
      <c r="B9" s="10" t="inlineStr">
        <is>
          <t>Inventory health</t>
        </is>
      </c>
      <c r="C9" s="10" t="inlineStr">
        <is>
          <t>Unverified, missing, due for verification</t>
        </is>
      </c>
      <c r="D9" s="10" t="inlineStr">
        <is>
          <t>Tile</t>
        </is>
      </c>
      <c r="E9" s="10" t="inlineStr">
        <is>
          <t>Inventory state</t>
        </is>
      </c>
      <c r="F9" s="10" t="inlineStr">
        <is>
          <t>No source</t>
        </is>
      </c>
      <c r="G9" s="10" t="inlineStr">
        <is>
          <t>No file exists</t>
        </is>
      </c>
      <c r="H9" s="10" t="inlineStr">
        <is>
          <t>There is nothing to open. No system this report can reach holds this figure. See the question column for who to ask</t>
        </is>
      </c>
      <c r="I9" s="10" t="inlineStr">
        <is>
          <t>No file exists</t>
        </is>
      </c>
      <c r="J9" s="10" t="inlineStr">
        <is>
          <t>Cannot be worked out. Implies a physical inventory process with a system behind it</t>
        </is>
      </c>
      <c r="K9" s="10" t="inlineStr">
        <is>
          <t>None</t>
        </is>
      </c>
      <c r="L9" s="10" t="inlineStr">
        <is>
          <t>No column exists</t>
        </is>
      </c>
      <c r="M9" s="10" t="inlineStr">
        <is>
          <t>No</t>
        </is>
      </c>
      <c r="N9" s="10" t="inlineStr">
        <is>
          <t>No</t>
        </is>
      </c>
      <c r="O9" s="10" t="inlineStr">
        <is>
          <t>Blocked</t>
        </is>
      </c>
      <c r="P9" s="13" t="inlineStr">
        <is>
          <t>Needs new data source</t>
        </is>
      </c>
      <c r="Q9"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R9" s="10" t="inlineStr"/>
      <c r="S9" s="10" t="inlineStr"/>
      <c r="T9" s="10" t="inlineStr"/>
    </row>
    <row r="10">
      <c r="A10" s="9" t="n">
        <v>6</v>
      </c>
      <c r="B10" s="10" t="inlineStr">
        <is>
          <t>Inventory health</t>
        </is>
      </c>
      <c r="C10" s="10" t="inlineStr">
        <is>
          <t>Total physical files, legacy records</t>
        </is>
      </c>
      <c r="D10" s="10" t="inlineStr">
        <is>
          <t>Tile</t>
        </is>
      </c>
      <c r="E10" s="10" t="inlineStr">
        <is>
          <t>Size of the holding</t>
        </is>
      </c>
      <c r="F10" s="10" t="inlineStr">
        <is>
          <t>No source</t>
        </is>
      </c>
      <c r="G10" s="10" t="inlineStr">
        <is>
          <t>No file exists</t>
        </is>
      </c>
      <c r="H10" s="10" t="inlineStr">
        <is>
          <t>There is nothing to open. No system this report can reach holds this figure. See the question column for who to ask</t>
        </is>
      </c>
      <c r="I10" s="10" t="inlineStr">
        <is>
          <t>No file exists</t>
        </is>
      </c>
      <c r="J10" s="10" t="inlineStr">
        <is>
          <t>Cannot be worked out</t>
        </is>
      </c>
      <c r="K10" s="10" t="inlineStr">
        <is>
          <t>None</t>
        </is>
      </c>
      <c r="L10" s="10" t="inlineStr">
        <is>
          <t>No column exists</t>
        </is>
      </c>
      <c r="M10" s="10" t="inlineStr">
        <is>
          <t>No</t>
        </is>
      </c>
      <c r="N10" s="10" t="inlineStr">
        <is>
          <t>No</t>
        </is>
      </c>
      <c r="O10" s="10" t="inlineStr">
        <is>
          <t>Blocked</t>
        </is>
      </c>
      <c r="P10" s="13" t="inlineStr">
        <is>
          <t>Needs new data source</t>
        </is>
      </c>
      <c r="Q10"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R10" s="10" t="inlineStr"/>
      <c r="S10" s="10" t="inlineStr"/>
      <c r="T10" s="10" t="inlineStr"/>
    </row>
    <row r="11">
      <c r="A11" s="9" t="n">
        <v>7</v>
      </c>
      <c r="B11" s="10" t="inlineStr">
        <is>
          <t>Whole dashboard</t>
        </is>
      </c>
      <c r="C11" s="10" t="inlineStr">
        <is>
          <t>Recommendation</t>
        </is>
      </c>
      <c r="D11" s="10" t="inlineStr">
        <is>
          <t>Note</t>
        </is>
      </c>
      <c r="E11" s="10" t="inlineStr">
        <is>
          <t>How to run this piece of work</t>
        </is>
      </c>
      <c r="F11" s="10" t="inlineStr">
        <is>
          <t>No source</t>
        </is>
      </c>
      <c r="G11" s="10" t="inlineStr">
        <is>
          <t>No file exists</t>
        </is>
      </c>
      <c r="H11" s="10" t="inlineStr">
        <is>
          <t>There is nothing to open. No system this report can reach holds this figure. See the question column for who to ask</t>
        </is>
      </c>
      <c r="I11" s="10" t="inlineStr">
        <is>
          <t>n/a</t>
        </is>
      </c>
      <c r="J11" s="10" t="inlineStr">
        <is>
          <t>Run as its own workstream. It is a second data source discovery exercise of the same size as the SharePoint one already completed, and inside the utilization report it would hold up the other five dashboards</t>
        </is>
      </c>
      <c r="K11" s="10" t="inlineStr">
        <is>
          <t>n/a</t>
        </is>
      </c>
      <c r="L11" s="10" t="inlineStr">
        <is>
          <t>n/a</t>
        </is>
      </c>
      <c r="M11" s="10" t="inlineStr">
        <is>
          <t>n/a</t>
        </is>
      </c>
      <c r="N11" s="10" t="inlineStr">
        <is>
          <t>n/a</t>
        </is>
      </c>
      <c r="O11" s="10" t="inlineStr">
        <is>
          <t>n/a</t>
        </is>
      </c>
      <c r="P11" s="17" t="inlineStr">
        <is>
          <t>Decision needed</t>
        </is>
      </c>
      <c r="Q11" s="10" t="inlineStr">
        <is>
          <t>Ask for access to the IR Dashboard shown on slide 67, and ask what is available in Opus. Why: both are their own questions to us, and the IR Dashboard may already hold most of this</t>
        </is>
      </c>
      <c r="R11" s="10" t="inlineStr"/>
      <c r="S11" s="10" t="inlineStr"/>
      <c r="T11" s="10" t="inlineStr"/>
    </row>
  </sheetData>
  <autoFilter ref="A4:T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UTILIZATION REPORT TABLE</t>
        </is>
      </c>
      <c r="B1" s="6" t="n"/>
      <c r="C1" s="6" t="n"/>
      <c r="D1" s="6" t="n"/>
      <c r="E1" s="6" t="n"/>
      <c r="F1" s="6" t="n"/>
      <c r="G1" s="6" t="n"/>
      <c r="H1" s="6" t="n"/>
      <c r="I1" s="6" t="n"/>
    </row>
    <row r="2" ht="42" customHeight="1">
      <c r="A2" s="7" t="inlineStr">
        <is>
          <t>One row per document held in an EDRMS compliant site, declared or not. About 3.47 million rows, replaced in full at each weekly refresh. The undeclared documents are the point: without them there is no denominator and therefore no declaration rate.</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row of the snapshot. Regenerated on every refresh, because the whole table is replaced rather than updated in place.</t>
        </is>
      </c>
      <c r="E5" s="10" t="inlineStr">
        <is>
          <t>System generated</t>
        </is>
      </c>
      <c r="F5" s="10" t="inlineStr">
        <is>
          <t>3f2a91c4-7b18-4d0e-9a52-c6f0b81c4d2e</t>
        </is>
      </c>
      <c r="G5" s="10" t="inlineStr">
        <is>
          <t>Job generated</t>
        </is>
      </c>
      <c r="H5" s="10" t="inlineStr"/>
      <c r="I5" s="10" t="inlineStr"/>
    </row>
    <row r="6">
      <c r="A6" s="9" t="n">
        <v>2</v>
      </c>
      <c r="B6" s="18" t="inlineStr">
        <is>
          <t>SnapshotDate</t>
        </is>
      </c>
      <c r="C6" s="10" t="inlineStr">
        <is>
          <t>date</t>
        </is>
      </c>
      <c r="D6" s="10" t="inlineStr">
        <is>
          <t>The date the refresh job captured this data. The same value appears on every row of a single run, and it is what the Data as of line prints at the top of every dashboard.</t>
        </is>
      </c>
      <c r="E6" s="10" t="inlineStr">
        <is>
          <t>System generated</t>
        </is>
      </c>
      <c r="F6" s="10" t="inlineStr">
        <is>
          <t>2026-07-27</t>
        </is>
      </c>
      <c r="G6" s="10" t="inlineStr">
        <is>
          <t>Job generated</t>
        </is>
      </c>
      <c r="H6" s="10" t="inlineStr"/>
      <c r="I6" s="10" t="inlineStr">
        <is>
          <t>NEW. One value per run. A dashboard is only as current as this date. THIS TABLE IS REPLACED, NOT RETAINED, unlike the other three: at 3.47 million rows a week a year of history would be 180 million rows, and it is not needed, because every document row already carries its own dates.</t>
        </is>
      </c>
    </row>
    <row r="7">
      <c r="A7" s="9" t="n">
        <v>3</v>
      </c>
      <c r="B7" s="18" t="inlineStr">
        <is>
          <t>DocumentId</t>
        </is>
      </c>
      <c r="C7" s="10" t="inlineStr">
        <is>
          <t>text</t>
        </is>
      </c>
      <c r="D7" s="10" t="inlineStr">
        <is>
          <t>The SharePoint Document ID, meaning the identifier SharePoint assigns to a document and keeps through a rename or a move.</t>
        </is>
      </c>
      <c r="E7" s="10" t="inlineStr">
        <is>
          <t>SharePoint Document ID</t>
        </is>
      </c>
      <c r="F7" s="10" t="inlineStr">
        <is>
          <t>1000-52341</t>
        </is>
      </c>
      <c r="G7" s="10" t="inlineStr">
        <is>
          <t>EDRMS database</t>
        </is>
      </c>
      <c r="H7" s="10" t="inlineStr"/>
      <c r="I7" s="10" t="inlineStr">
        <is>
          <t>Nullable, which is why it is not the row identity. See ListId and ItemId.</t>
        </is>
      </c>
    </row>
    <row r="8">
      <c r="A8" s="9" t="n">
        <v>4</v>
      </c>
      <c r="B8" s="18" t="inlineStr">
        <is>
          <t>Title</t>
        </is>
      </c>
      <c r="C8" s="10" t="inlineStr">
        <is>
          <t>text</t>
        </is>
      </c>
      <c r="D8" s="10" t="inlineStr">
        <is>
          <t>The filename of the document, including its extension.</t>
        </is>
      </c>
      <c r="E8" s="10" t="inlineStr">
        <is>
          <t>Free text</t>
        </is>
      </c>
      <c r="F8" s="10" t="inlineStr">
        <is>
          <t>Board Paper Q2.pdf</t>
        </is>
      </c>
      <c r="G8" s="10" t="inlineStr">
        <is>
          <t>EDRMS database</t>
        </is>
      </c>
      <c r="H8" s="10" t="inlineStr"/>
      <c r="I8" s="10" t="inlineStr"/>
    </row>
    <row r="9">
      <c r="A9" s="9" t="n">
        <v>5</v>
      </c>
      <c r="B9" s="18" t="inlineStr">
        <is>
          <t>DocumentUrl</t>
        </is>
      </c>
      <c r="C9" s="10" t="inlineStr">
        <is>
          <t>text</t>
        </is>
      </c>
      <c r="D9" s="10" t="inlineStr">
        <is>
          <t>The full web address of the document, so a reader can click through from the report to the file itself.</t>
        </is>
      </c>
      <c r="E9" s="10" t="inlineStr">
        <is>
          <t>Absolute URL</t>
        </is>
      </c>
      <c r="F9" s="10" t="inlineStr">
        <is>
          <t>https://adb.sharepoint.com/sites/edrms-cwrd/AnnualMeet/Board Paper Q2.pdf</t>
        </is>
      </c>
      <c r="G9" s="10" t="inlineStr">
        <is>
          <t>Derived at load</t>
        </is>
      </c>
      <c r="H9" s="10" t="inlineStr"/>
      <c r="I9" s="10" t="inlineStr">
        <is>
          <t>NEW. Assembled at load time from SiteUrl, LibraryUrl, FolderPath and Title. Not stored anywhere today.</t>
        </is>
      </c>
    </row>
    <row r="10">
      <c r="A10" s="9" t="n">
        <v>6</v>
      </c>
      <c r="B10" s="18" t="inlineStr">
        <is>
          <t>FileType</t>
        </is>
      </c>
      <c r="C10" s="10" t="inlineStr">
        <is>
          <t>text</t>
        </is>
      </c>
      <c r="D10" s="10" t="inlineStr">
        <is>
          <t>The file extension in lower case, taken from the filename.</t>
        </is>
      </c>
      <c r="E10" s="10" t="inlineStr">
        <is>
          <t>Free text</t>
        </is>
      </c>
      <c r="F10" s="10" t="inlineStr">
        <is>
          <t>pdf</t>
        </is>
      </c>
      <c r="G10" s="10" t="inlineStr">
        <is>
          <t>EDRMS database</t>
        </is>
      </c>
      <c r="H10" s="10" t="inlineStr"/>
      <c r="I10" s="10" t="inlineStr">
        <is>
          <t>Flattened out of the FileMeta JSON, keeping the key name.</t>
        </is>
      </c>
    </row>
    <row r="11">
      <c r="A11" s="9" t="n">
        <v>7</v>
      </c>
      <c r="B11" s="18" t="inlineStr">
        <is>
          <t>FormatGroup</t>
        </is>
      </c>
      <c r="C11" s="10" t="inlineStr">
        <is>
          <t>text</t>
        </is>
      </c>
      <c r="D11" s="10" t="inlineStr">
        <is>
          <t>The format family the report groups by. Derived from FileType using a mapping list, so that doc and docx both count as Word.</t>
        </is>
      </c>
      <c r="E11" s="10" t="inlineStr">
        <is>
          <t>PDF / Word / Excel / PowerPoint / Email / Image files / Video files / All other formats</t>
        </is>
      </c>
      <c r="F11" s="10" t="inlineStr">
        <is>
          <t>PDF</t>
        </is>
      </c>
      <c r="G11" s="13" t="inlineStr">
        <is>
          <t>NEEDS A DECISION</t>
        </is>
      </c>
      <c r="H11" s="10" t="inlineStr"/>
      <c r="I11" s="10" t="inlineStr">
        <is>
          <t>NEW. Derived. RAC signs off the extension to group mapping once; anything unrecognised falls into All other formats.</t>
        </is>
      </c>
    </row>
    <row r="12">
      <c r="A12" s="9" t="n">
        <v>8</v>
      </c>
      <c r="B12" s="18" t="inlineStr">
        <is>
          <t>FileSize</t>
        </is>
      </c>
      <c r="C12" s="10" t="inlineStr">
        <is>
          <t>bigint</t>
        </is>
      </c>
      <c r="D12" s="10" t="inlineStr">
        <is>
          <t>The size of the file in bytes. Held in bytes rather than megabytes so nothing is rounded before it is totalled.</t>
        </is>
      </c>
      <c r="E12" s="10" t="inlineStr">
        <is>
          <t>System generated</t>
        </is>
      </c>
      <c r="F12" s="10" t="inlineStr">
        <is>
          <t>2516582</t>
        </is>
      </c>
      <c r="G12" s="10" t="inlineStr">
        <is>
          <t>Microsoft Graph</t>
        </is>
      </c>
      <c r="H12" s="10" t="inlineStr"/>
      <c r="I12" s="10" t="inlineStr">
        <is>
          <t>NEW KEY on FileMeta. Every storage figure depends on it. Microsoft Graph returns it on every item, so the scan gets it at no extra cost.</t>
        </is>
      </c>
    </row>
    <row r="13">
      <c r="A13" s="9" t="n">
        <v>9</v>
      </c>
      <c r="B13" s="18" t="inlineStr">
        <is>
          <t>FileCreatedDate</t>
        </is>
      </c>
      <c r="C13" s="10" t="inlineStr">
        <is>
          <t>timestamp with time zone</t>
        </is>
      </c>
      <c r="D13" s="10" t="inlineStr">
        <is>
          <t>The date and time the file itself was created, which is not the same as the date it was declared a record.</t>
        </is>
      </c>
      <c r="E13" s="10" t="inlineStr">
        <is>
          <t>System generated</t>
        </is>
      </c>
      <c r="F13" s="10" t="inlineStr">
        <is>
          <t>2026-03-12 09:14:00+00</t>
        </is>
      </c>
      <c r="G13" s="10" t="inlineStr">
        <is>
          <t>EDRMS database</t>
        </is>
      </c>
      <c r="H13" s="10" t="inlineStr"/>
      <c r="I13" s="10" t="inlineStr">
        <is>
          <t>The date range on the Total Documents panel reads this column.</t>
        </is>
      </c>
    </row>
    <row r="14">
      <c r="A14" s="9" t="n">
        <v>10</v>
      </c>
      <c r="B14" s="18" t="inlineStr">
        <is>
          <t>FileModifiedDate</t>
        </is>
      </c>
      <c r="C14" s="10" t="inlineStr">
        <is>
          <t>timestamp with time zone</t>
        </is>
      </c>
      <c r="D14" s="10" t="inlineStr">
        <is>
          <t>The date and time the file itself was last changed.</t>
        </is>
      </c>
      <c r="E14" s="10" t="inlineStr">
        <is>
          <t>System generated</t>
        </is>
      </c>
      <c r="F14" s="10" t="inlineStr">
        <is>
          <t>2026-06-04 16:02:00+00</t>
        </is>
      </c>
      <c r="G14" s="10" t="inlineStr">
        <is>
          <t>Microsoft Graph</t>
        </is>
      </c>
      <c r="H14" s="10" t="inlineStr"/>
      <c r="I14" s="10" t="inlineStr">
        <is>
          <t>NEW. Named this way because ModifiedDate in Records means when the record row changed, not the file.</t>
        </is>
      </c>
    </row>
    <row r="15">
      <c r="A15" s="9" t="n">
        <v>11</v>
      </c>
      <c r="B15" s="18" t="inlineStr">
        <is>
          <t>FolderPath</t>
        </is>
      </c>
      <c r="C15" s="10" t="inlineStr">
        <is>
          <t>text</t>
        </is>
      </c>
      <c r="D15" s="10" t="inlineStr">
        <is>
          <t>The folder path inside the library, so documents can be separated by folder within one library.</t>
        </is>
      </c>
      <c r="E15" s="10" t="inlineStr">
        <is>
          <t>Server relative path</t>
        </is>
      </c>
      <c r="F15" s="10" t="inlineStr">
        <is>
          <t>/2026/Q2/Board</t>
        </is>
      </c>
      <c r="G15" s="10" t="inlineStr">
        <is>
          <t>EDRMS database</t>
        </is>
      </c>
      <c r="H15" s="10" t="inlineStr"/>
      <c r="I15" s="10" t="inlineStr"/>
    </row>
    <row r="16">
      <c r="A16" s="9" t="n">
        <v>12</v>
      </c>
      <c r="B16" s="18" t="inlineStr">
        <is>
          <t>LibraryName</t>
        </is>
      </c>
      <c r="C16" s="10" t="inlineStr">
        <is>
          <t>text</t>
        </is>
      </c>
      <c r="D16" s="10" t="inlineStr">
        <is>
          <t>The display name of the document library holding the file.</t>
        </is>
      </c>
      <c r="E16" s="10" t="inlineStr">
        <is>
          <t>Free text</t>
        </is>
      </c>
      <c r="F16" s="10" t="inlineStr">
        <is>
          <t>Annual Meetings</t>
        </is>
      </c>
      <c r="G16" s="10" t="inlineStr">
        <is>
          <t>EDRMS database</t>
        </is>
      </c>
      <c r="H16" s="10" t="inlineStr"/>
      <c r="I16" s="10" t="inlineStr">
        <is>
          <t>The deepest level of the drill down.</t>
        </is>
      </c>
    </row>
    <row r="17">
      <c r="A17" s="9" t="n">
        <v>13</v>
      </c>
      <c r="B17" s="18" t="inlineStr">
        <is>
          <t>LibraryUrl</t>
        </is>
      </c>
      <c r="C17" s="10" t="inlineStr">
        <is>
          <t>text</t>
        </is>
      </c>
      <c r="D17" s="10" t="inlineStr">
        <is>
          <t>The web address of the library, for click through.</t>
        </is>
      </c>
      <c r="E17" s="10" t="inlineStr">
        <is>
          <t>Server relative URL</t>
        </is>
      </c>
      <c r="F17" s="10" t="inlineStr">
        <is>
          <t>/sites/edrms-cwrd/AnnualMeet</t>
        </is>
      </c>
      <c r="G17" s="10" t="inlineStr">
        <is>
          <t>EDRMS database</t>
        </is>
      </c>
      <c r="H17" s="10" t="inlineStr"/>
      <c r="I17" s="10" t="inlineStr"/>
    </row>
    <row r="18">
      <c r="A18" s="9" t="n">
        <v>14</v>
      </c>
      <c r="B18" s="18" t="inlineStr">
        <is>
          <t>LibraryLastActivityDate</t>
        </is>
      </c>
      <c r="C18" s="10" t="inlineStr">
        <is>
          <t>date</t>
        </is>
      </c>
      <c r="D18" s="10" t="inlineStr">
        <is>
          <t>The date anything in the library last changed. Used to judge whether a library is still in use.</t>
        </is>
      </c>
      <c r="E18" s="10" t="inlineStr">
        <is>
          <t>System generated</t>
        </is>
      </c>
      <c r="F18" s="10" t="inlineStr">
        <is>
          <t>2026-07-22</t>
        </is>
      </c>
      <c r="G18" s="10" t="inlineStr">
        <is>
          <t>Microsoft Graph</t>
        </is>
      </c>
      <c r="H18" s="10" t="inlineStr"/>
      <c r="I18" s="10" t="inlineStr">
        <is>
          <t>NEW. Microsoft Graph returns it as lastModifiedDateTime on the drive, from the same call that supplies LibraryCount. Repeated on every document row of that library.</t>
        </is>
      </c>
    </row>
    <row r="19">
      <c r="A19" s="9" t="n">
        <v>15</v>
      </c>
      <c r="B19" s="18" t="inlineStr">
        <is>
          <t>ListId</t>
        </is>
      </c>
      <c r="C19" s="10" t="inlineStr">
        <is>
          <t>uuid</t>
        </is>
      </c>
      <c r="D19" s="10" t="inlineStr">
        <is>
          <t>The GUID, meaning the system generated identifier, of the SharePoint library. Libraries can be renamed but this does not change, so every library figure groups on it.</t>
        </is>
      </c>
      <c r="E19" s="10" t="inlineStr">
        <is>
          <t>SharePoint list GUID</t>
        </is>
      </c>
      <c r="F19" s="10" t="inlineStr">
        <is>
          <t>a869c724-ac4f-4144-8526-69b5aeef3a68</t>
        </is>
      </c>
      <c r="G19" s="10" t="inlineStr">
        <is>
          <t>EDRMS database</t>
        </is>
      </c>
      <c r="H19" s="10" t="inlineStr"/>
      <c r="I19" s="10" t="inlineStr">
        <is>
          <t>Verified to match SharePoint's own list GUID, so the join to Graph is safe.</t>
        </is>
      </c>
    </row>
    <row r="20">
      <c r="A20" s="9" t="n">
        <v>16</v>
      </c>
      <c r="B20" s="18" t="inlineStr">
        <is>
          <t>ItemId</t>
        </is>
      </c>
      <c r="C20" s="10" t="inlineStr">
        <is>
          <t>integer</t>
        </is>
      </c>
      <c r="D20" s="10" t="inlineStr">
        <is>
          <t>The item number SharePoint assigns within a library. Unique inside one library, not across libraries.</t>
        </is>
      </c>
      <c r="E20" s="10" t="inlineStr">
        <is>
          <t>System generated</t>
        </is>
      </c>
      <c r="F20" s="10" t="inlineStr">
        <is>
          <t>203</t>
        </is>
      </c>
      <c r="G20" s="10" t="inlineStr">
        <is>
          <t>EDRMS database</t>
        </is>
      </c>
      <c r="H20" s="10" t="inlineStr"/>
      <c r="I20" s="10" t="inlineStr">
        <is>
          <t>With ListId this identifies exactly one item. Together they are the identity of a row.</t>
        </is>
      </c>
    </row>
    <row r="21">
      <c r="A21" s="9" t="n">
        <v>17</v>
      </c>
      <c r="B21" s="18" t="inlineStr">
        <is>
          <t>ADBLibraryCategory</t>
        </is>
      </c>
      <c r="C21" s="10" t="inlineStr">
        <is>
          <t>text</t>
        </is>
      </c>
      <c r="D21" s="10" t="inlineStr">
        <is>
          <t>The category the library belongs to, used to group records by classification.</t>
        </is>
      </c>
      <c r="E21" s="10" t="inlineStr">
        <is>
          <t>Common Document Library / Procurement / and the other values in the mapping list</t>
        </is>
      </c>
      <c r="F21" s="10" t="inlineStr">
        <is>
          <t>Common Document Library</t>
        </is>
      </c>
      <c r="G21" s="10" t="inlineStr">
        <is>
          <t>SharePoint list</t>
        </is>
      </c>
      <c r="H21" s="10" t="inlineStr">
        <is>
          <t>Retention Label Mapping list</t>
        </is>
      </c>
      <c r="I21" s="10" t="inlineStr">
        <is>
          <t>ADBMeta is empty. The same value is maintained today as Library Type in the Retention Label Mapping list.</t>
        </is>
      </c>
    </row>
    <row r="22">
      <c r="A22" s="9" t="n">
        <v>18</v>
      </c>
      <c r="B22" s="18" t="inlineStr">
        <is>
          <t>SiteName</t>
        </is>
      </c>
      <c r="C22" s="10" t="inlineStr">
        <is>
          <t>text</t>
        </is>
      </c>
      <c r="D22" s="10" t="inlineStr">
        <is>
          <t>The display name of the SharePoint site holding the file.</t>
        </is>
      </c>
      <c r="E22" s="10" t="inlineStr">
        <is>
          <t>Free text</t>
        </is>
      </c>
      <c r="F22" s="10" t="inlineStr">
        <is>
          <t>EDRMS CWRD</t>
        </is>
      </c>
      <c r="G22" s="10" t="inlineStr">
        <is>
          <t>EDRMS database</t>
        </is>
      </c>
      <c r="H22" s="10" t="inlineStr">
        <is>
          <t>Site Activity Table</t>
        </is>
      </c>
      <c r="I22" s="10" t="inlineStr"/>
    </row>
    <row r="23">
      <c r="A23" s="9" t="n">
        <v>19</v>
      </c>
      <c r="B23" s="18" t="inlineStr">
        <is>
          <t>SiteUrl</t>
        </is>
      </c>
      <c r="C23" s="10" t="inlineStr">
        <is>
          <t>text</t>
        </is>
      </c>
      <c r="D23" s="10" t="inlineStr">
        <is>
          <t>The web address of the site holding the file. This is the column that joins a document to its site.</t>
        </is>
      </c>
      <c r="E23" s="10" t="inlineStr">
        <is>
          <t>Absolute URL</t>
        </is>
      </c>
      <c r="F23" s="10" t="inlineStr">
        <is>
          <t>https://adb.sharepoint.com/sites/edrms-cwrd</t>
        </is>
      </c>
      <c r="G23" s="10" t="inlineStr">
        <is>
          <t>EDRMS database</t>
        </is>
      </c>
      <c r="H23" s="10" t="inlineStr">
        <is>
          <t>Site Activity Table</t>
        </is>
      </c>
      <c r="I23" s="10" t="inlineStr">
        <is>
          <t>The join key behind every department figure. Every existing row already carries it.</t>
        </is>
      </c>
    </row>
    <row r="24">
      <c r="A24" s="9" t="n">
        <v>20</v>
      </c>
      <c r="B24" s="18" t="inlineStr">
        <is>
          <t>SiteCreatedDate</t>
        </is>
      </c>
      <c r="C24" s="10" t="inlineStr">
        <is>
          <t>date</t>
        </is>
      </c>
      <c r="D24" s="10" t="inlineStr">
        <is>
          <t>The date the SharePoint site was created. Copied from the Site Activity Table so a document can be filtered by the age of its site without a join.</t>
        </is>
      </c>
      <c r="E24" s="10" t="inlineStr">
        <is>
          <t>System generated</t>
        </is>
      </c>
      <c r="F24" s="10" t="inlineStr">
        <is>
          <t>2026-01-18</t>
        </is>
      </c>
      <c r="G24" s="10" t="inlineStr">
        <is>
          <t>Microsoft Graph</t>
        </is>
      </c>
      <c r="H24" s="10" t="inlineStr">
        <is>
          <t>Site Activity Table</t>
        </is>
      </c>
      <c r="I24" s="10" t="inlineStr">
        <is>
          <t>NEW.</t>
        </is>
      </c>
    </row>
    <row r="25">
      <c r="A25" s="9" t="n">
        <v>21</v>
      </c>
      <c r="B25" s="18" t="inlineStr">
        <is>
          <t>IsEdrmsCompliant</t>
        </is>
      </c>
      <c r="C25" s="10" t="inlineStr">
        <is>
          <t>boolean</t>
        </is>
      </c>
      <c r="D25" s="10" t="inlineStr">
        <is>
          <t>Whether the site holding this document is an EDRMS compliant site, meaning it has the Declare as Record button.</t>
        </is>
      </c>
      <c r="E25" s="10" t="inlineStr">
        <is>
          <t>true / false</t>
        </is>
      </c>
      <c r="F25" s="10" t="inlineStr">
        <is>
          <t>true</t>
        </is>
      </c>
      <c r="G25" s="13" t="inlineStr">
        <is>
          <t>NEEDS A DECISION</t>
        </is>
      </c>
      <c r="H25" s="10" t="inlineStr">
        <is>
          <t>Site Activity Table</t>
        </is>
      </c>
      <c r="I25" s="10" t="inlineStr">
        <is>
          <t>NEW. Determined by whether the EDRMS app is installed on the site. Defines the population of this whole table.</t>
        </is>
      </c>
    </row>
    <row r="26">
      <c r="A26" s="9" t="n">
        <v>22</v>
      </c>
      <c r="B26" s="18" t="inlineStr">
        <is>
          <t>ADBDepartmentOwner</t>
        </is>
      </c>
      <c r="C26" s="10" t="inlineStr">
        <is>
          <t>text</t>
        </is>
      </c>
      <c r="D26" s="10" t="inlineStr">
        <is>
          <t>The department that owns the site holding this document. Inherited from the site rather than set on each document.</t>
        </is>
      </c>
      <c r="E26" s="10" t="inlineStr">
        <is>
          <t>Values from the Department term set</t>
        </is>
      </c>
      <c r="F26" s="10" t="inlineStr">
        <is>
          <t>CWRD</t>
        </is>
      </c>
      <c r="G26" s="13" t="inlineStr">
        <is>
          <t>NEEDS A DECISION</t>
        </is>
      </c>
      <c r="H26" s="10" t="inlineStr">
        <is>
          <t>Site Activity Table</t>
        </is>
      </c>
      <c r="I26" s="10" t="inlineStr">
        <is>
          <t>GAP. The SharePoint column exists and is empty on every row. Arrives from the RAC site mapping, loaded onto the site and inherited through SiteUrl.</t>
        </is>
      </c>
    </row>
    <row r="27">
      <c r="A27" s="9" t="n">
        <v>23</v>
      </c>
      <c r="B27" s="18" t="inlineStr">
        <is>
          <t>IsDeclaredRecord</t>
        </is>
      </c>
      <c r="C27" s="10" t="inlineStr">
        <is>
          <t>boolean</t>
        </is>
      </c>
      <c r="D27" s="10" t="inlineStr">
        <is>
          <t>Whether this document has been formally declared a record. This is the single most important column in the report, because it separates the numerator from the denominator in every rate.</t>
        </is>
      </c>
      <c r="E27" s="10" t="inlineStr">
        <is>
          <t>true / false</t>
        </is>
      </c>
      <c r="F27" s="10" t="inlineStr">
        <is>
          <t>true</t>
        </is>
      </c>
      <c r="G27" s="10" t="inlineStr">
        <is>
          <t>Derived at load</t>
        </is>
      </c>
      <c r="H27" s="10" t="inlineStr"/>
      <c r="I27" s="10" t="inlineStr">
        <is>
          <t>NEW but free. Derived at load: true where the document is present in Records, false where the scan found it and Records does not.</t>
        </is>
      </c>
    </row>
    <row r="28">
      <c r="A28" s="9" t="n">
        <v>24</v>
      </c>
      <c r="B28" s="18" t="inlineStr">
        <is>
          <t>CreatedDate</t>
        </is>
      </c>
      <c r="C28" s="10" t="inlineStr">
        <is>
          <t>timestamp with time zone</t>
        </is>
      </c>
      <c r="D28" s="10" t="inlineStr">
        <is>
          <t>The date and time the user declared the file as a record. Blank for a document that has never been declared.</t>
        </is>
      </c>
      <c r="E28" s="10" t="inlineStr">
        <is>
          <t>System generated</t>
        </is>
      </c>
      <c r="F28" s="10" t="inlineStr">
        <is>
          <t>2026-03-12 09:14:00+00</t>
        </is>
      </c>
      <c r="G28" s="10" t="inlineStr">
        <is>
          <t>EDRMS database</t>
        </is>
      </c>
      <c r="H28" s="10" t="inlineStr"/>
      <c r="I28" s="10" t="inlineStr">
        <is>
          <t>Every declaration date filter reads this column. Not the file's own creation date.</t>
        </is>
      </c>
    </row>
    <row r="29">
      <c r="A29" s="9" t="n">
        <v>25</v>
      </c>
      <c r="B29" s="18" t="inlineStr">
        <is>
          <t>CreatedBy</t>
        </is>
      </c>
      <c r="C29" s="10" t="inlineStr">
        <is>
          <t>text</t>
        </is>
      </c>
      <c r="D29" s="10" t="inlineStr">
        <is>
          <t>The User Principal Name, meaning the sign-in email address, of the person who declared the record.</t>
        </is>
      </c>
      <c r="E29" s="10" t="inlineStr">
        <is>
          <t>Valid ADB UPN</t>
        </is>
      </c>
      <c r="F29" s="10" t="inlineStr">
        <is>
          <t>jperez@adb.org</t>
        </is>
      </c>
      <c r="G29" s="10" t="inlineStr">
        <is>
          <t>EDRMS database</t>
        </is>
      </c>
      <c r="H29" s="10" t="inlineStr"/>
      <c r="I29" s="10" t="inlineStr"/>
    </row>
    <row r="30">
      <c r="A30" s="9" t="n">
        <v>26</v>
      </c>
      <c r="B30" s="18" t="inlineStr">
        <is>
          <t>DeclarationType</t>
        </is>
      </c>
      <c r="C30" s="10" t="inlineStr">
        <is>
          <t>integer</t>
        </is>
      </c>
      <c r="D30" s="10" t="inlineStr">
        <is>
          <t>Whether the record was declared individually or through a centralised process, held as a numeric code.</t>
        </is>
      </c>
      <c r="E30" s="10" t="inlineStr">
        <is>
          <t>System generated</t>
        </is>
      </c>
      <c r="F30" s="10" t="inlineStr">
        <is>
          <t>1</t>
        </is>
      </c>
      <c r="G30" s="10" t="inlineStr">
        <is>
          <t>EDRMS database</t>
        </is>
      </c>
      <c r="H30" s="10" t="inlineStr"/>
      <c r="I30" s="10" t="inlineStr">
        <is>
          <t>Deployed today as an integer. The code to label mapping needs confirming with the development team.</t>
        </is>
      </c>
    </row>
    <row r="31">
      <c r="A31" s="9" t="n">
        <v>27</v>
      </c>
      <c r="B31" s="18" t="inlineStr">
        <is>
          <t>HasPhysical</t>
        </is>
      </c>
      <c r="C31" s="10" t="inlineStr">
        <is>
          <t>boolean</t>
        </is>
      </c>
      <c r="D31" s="10" t="inlineStr">
        <is>
          <t>Whether a physical paper counterpart of this record exists.</t>
        </is>
      </c>
      <c r="E31" s="10" t="inlineStr">
        <is>
          <t>true / false</t>
        </is>
      </c>
      <c r="F31" s="10" t="inlineStr">
        <is>
          <t>false</t>
        </is>
      </c>
      <c r="G31" s="10" t="inlineStr">
        <is>
          <t>EDRMS database</t>
        </is>
      </c>
      <c r="H31" s="10" t="inlineStr"/>
      <c r="I31" s="10" t="inlineStr">
        <is>
          <t>Blank rather than false for undeclared documents, since neither answer is known for them.</t>
        </is>
      </c>
    </row>
    <row r="32">
      <c r="A32" s="9" t="n">
        <v>28</v>
      </c>
      <c r="B32" s="18" t="inlineStr">
        <is>
          <t>PhysicalCounterpartRetention</t>
        </is>
      </c>
      <c r="C32" s="10" t="inlineStr">
        <is>
          <t>text</t>
        </is>
      </c>
      <c r="D32" s="10" t="inlineStr">
        <is>
          <t>The retention that applies to the physical copy, maintained per library rather than per document.</t>
        </is>
      </c>
      <c r="E32" s="10" t="inlineStr">
        <is>
          <t>Long Term / Permanent</t>
        </is>
      </c>
      <c r="F32" s="10" t="inlineStr">
        <is>
          <t>Long Term</t>
        </is>
      </c>
      <c r="G32" s="10" t="inlineStr">
        <is>
          <t>SharePoint list</t>
        </is>
      </c>
      <c r="H32" s="10" t="inlineStr">
        <is>
          <t>Retention Label Mapping list</t>
        </is>
      </c>
      <c r="I32" s="10" t="inlineStr"/>
    </row>
    <row r="33">
      <c r="A33" s="9" t="n">
        <v>29</v>
      </c>
      <c r="B33" s="18" t="inlineStr">
        <is>
          <t>EDRMSRetentionLabel</t>
        </is>
      </c>
      <c r="C33" s="10" t="inlineStr">
        <is>
          <t>text</t>
        </is>
      </c>
      <c r="D33" s="10" t="inlineStr">
        <is>
          <t>The retention label applied to the file, which is what determines how long it is kept.</t>
        </is>
      </c>
      <c r="E33" s="10" t="inlineStr">
        <is>
          <t>Values from the Purview file plan</t>
        </is>
      </c>
      <c r="F33" s="10" t="inlineStr">
        <is>
          <t>10 years after declaration</t>
        </is>
      </c>
      <c r="G33" s="10" t="inlineStr">
        <is>
          <t>EDRMS database</t>
        </is>
      </c>
      <c r="H33" s="10" t="inlineStr"/>
      <c r="I33" s="10" t="inlineStr">
        <is>
          <t>A record with no label has no disposal date and cannot be scheduled at all.</t>
        </is>
      </c>
    </row>
    <row r="34">
      <c r="A34" s="9" t="n">
        <v>30</v>
      </c>
      <c r="B34" s="18" t="inlineStr">
        <is>
          <t>EDRMSDuration</t>
        </is>
      </c>
      <c r="C34" s="10" t="inlineStr">
        <is>
          <t>text</t>
        </is>
      </c>
      <c r="D34" s="10" t="inlineStr">
        <is>
          <t>The length of the retention period attached to the label.</t>
        </is>
      </c>
      <c r="E34" s="10" t="inlineStr">
        <is>
          <t>Free text</t>
        </is>
      </c>
      <c r="F34" s="10" t="inlineStr">
        <is>
          <t>10</t>
        </is>
      </c>
      <c r="G34" s="10" t="inlineStr">
        <is>
          <t>EDRMS database</t>
        </is>
      </c>
      <c r="H34" s="10" t="inlineStr"/>
      <c r="I34" s="10" t="inlineStr">
        <is>
          <t>Stored as text rather than a number so it can hold Permanent alongside 10. Cast before doing arithmetic on it.</t>
        </is>
      </c>
    </row>
    <row r="35">
      <c r="A35" s="9" t="n">
        <v>31</v>
      </c>
      <c r="B35" s="18" t="inlineStr">
        <is>
          <t>EDRMSRetentionLabelApplied</t>
        </is>
      </c>
      <c r="C35" s="10" t="inlineStr">
        <is>
          <t>timestamp with time zone</t>
        </is>
      </c>
      <c r="D35" s="10" t="inlineStr">
        <is>
          <t>The date and time the retention label was applied to the file.</t>
        </is>
      </c>
      <c r="E35" s="10" t="inlineStr">
        <is>
          <t>System generated</t>
        </is>
      </c>
      <c r="F35" s="10" t="inlineStr">
        <is>
          <t>2026-03-12 09:20:00+00</t>
        </is>
      </c>
      <c r="G35" s="10" t="inlineStr">
        <is>
          <t>EDRMS database</t>
        </is>
      </c>
      <c r="H35" s="10" t="inlineStr"/>
      <c r="I35" s="10" t="inlineStr">
        <is>
          <t>Never use this to date a declaration. A label can be applied to a document that was never declared.</t>
        </is>
      </c>
    </row>
    <row r="36">
      <c r="A36" s="9" t="n">
        <v>32</v>
      </c>
      <c r="B36" s="18" t="inlineStr">
        <is>
          <t>EDRMSDueDateForDisposal</t>
        </is>
      </c>
      <c r="C36" s="10" t="inlineStr">
        <is>
          <t>date</t>
        </is>
      </c>
      <c r="D36" s="10" t="inlineStr">
        <is>
          <t>The date the record becomes due for disposal, computed as the label applied date plus the duration.</t>
        </is>
      </c>
      <c r="E36" s="10" t="inlineStr">
        <is>
          <t>System generated</t>
        </is>
      </c>
      <c r="F36" s="10" t="inlineStr">
        <is>
          <t>2036-03-12</t>
        </is>
      </c>
      <c r="G36" s="10" t="inlineStr">
        <is>
          <t>EDRMS database</t>
        </is>
      </c>
      <c r="H36" s="10" t="inlineStr"/>
      <c r="I36" s="10" t="inlineStr">
        <is>
          <t>Already computed in the source database. Records due for disposal is a count over this column and needs nothing new.</t>
        </is>
      </c>
    </row>
    <row r="37">
      <c r="A37" s="9" t="n">
        <v>33</v>
      </c>
      <c r="B37" s="18" t="inlineStr">
        <is>
          <t>RetentionStatus</t>
        </is>
      </c>
      <c r="C37" s="10" t="inlineStr">
        <is>
          <t>text</t>
        </is>
      </c>
      <c r="D37" s="10" t="inlineStr">
        <is>
          <t>The retention classification derived from the duration.</t>
        </is>
      </c>
      <c r="E37" s="10" t="inlineStr">
        <is>
          <t>Values maintained in EDRMSMasters</t>
        </is>
      </c>
      <c r="F37" s="10" t="inlineStr">
        <is>
          <t>Active</t>
        </is>
      </c>
      <c r="G37" s="10" t="inlineStr">
        <is>
          <t>EDRMS database</t>
        </is>
      </c>
      <c r="H37" s="10" t="inlineStr">
        <is>
          <t>EDRMSMasters</t>
        </is>
      </c>
      <c r="I37" s="10" t="inlineStr"/>
    </row>
    <row r="38">
      <c r="A38" s="9" t="n">
        <v>34</v>
      </c>
      <c r="B38" s="18" t="inlineStr">
        <is>
          <t>SensitivityLabelName</t>
        </is>
      </c>
      <c r="C38" s="10" t="inlineStr">
        <is>
          <t>text</t>
        </is>
      </c>
      <c r="D38" s="10" t="inlineStr">
        <is>
          <t>The sensitivity label applied to the file, such as Internal or Confidential.</t>
        </is>
      </c>
      <c r="E38" s="10" t="inlineStr">
        <is>
          <t>Values from the DRM Classification Information term set</t>
        </is>
      </c>
      <c r="F38" s="10" t="inlineStr">
        <is>
          <t>Internal</t>
        </is>
      </c>
      <c r="G38" s="10" t="inlineStr">
        <is>
          <t>EDRMS database</t>
        </is>
      </c>
      <c r="H38" s="10" t="inlineStr"/>
      <c r="I38" s="10" t="inlineStr">
        <is>
          <t>Not on any current dashboard. Carried because it is free and the obvious basis for a protection view.</t>
        </is>
      </c>
    </row>
    <row r="39">
      <c r="A39" s="9" t="n">
        <v>35</v>
      </c>
      <c r="B39" s="18" t="inlineStr">
        <is>
          <t>IsDeleted</t>
        </is>
      </c>
      <c r="C39" s="10" t="inlineStr">
        <is>
          <t>boolean</t>
        </is>
      </c>
      <c r="D39" s="10" t="inlineStr">
        <is>
          <t>Soft delete flag. Every count on every dashboard excludes rows where this is true.</t>
        </is>
      </c>
      <c r="E39" s="10" t="inlineStr">
        <is>
          <t>true / false</t>
        </is>
      </c>
      <c r="F39" s="10" t="inlineStr">
        <is>
          <t>false</t>
        </is>
      </c>
      <c r="G39" s="10" t="inlineStr">
        <is>
          <t>Derived at load</t>
        </is>
      </c>
      <c r="H39" s="10" t="inlineStr"/>
      <c r="I39" s="10" t="inlineStr">
        <is>
          <t>For undeclared documents, absence from the next scan is the delete signal.</t>
        </is>
      </c>
    </row>
    <row r="40">
      <c r="A40" s="9" t="n">
        <v>36</v>
      </c>
      <c r="B40" s="18" t="inlineStr">
        <is>
          <t>RowLoadedDate</t>
        </is>
      </c>
      <c r="C40" s="10" t="inlineStr">
        <is>
          <t>timestamp with time zone</t>
        </is>
      </c>
      <c r="D40" s="10" t="inlineStr">
        <is>
          <t>The date and time this row was last written by the refresh job.</t>
        </is>
      </c>
      <c r="E40" s="10" t="inlineStr">
        <is>
          <t>System generated</t>
        </is>
      </c>
      <c r="F40" s="10" t="inlineStr">
        <is>
          <t>2026-07-27 06:00:00+00</t>
        </is>
      </c>
      <c r="G40" s="10" t="inlineStr">
        <is>
          <t>Job generated</t>
        </is>
      </c>
      <c r="H40" s="10" t="inlineStr"/>
      <c r="I40" s="10" t="inlineStr">
        <is>
          <t>NEW. Operational only. Lets a failed or partial refresh be spotted.</t>
        </is>
      </c>
    </row>
  </sheetData>
  <autoFilter ref="A4:I4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SITE ACTIVITY TABLE</t>
        </is>
      </c>
      <c r="B1" s="6" t="n"/>
      <c r="C1" s="6" t="n"/>
      <c r="D1" s="6" t="n"/>
      <c r="E1" s="6" t="n"/>
      <c r="F1" s="6" t="n"/>
      <c r="G1" s="6" t="n"/>
      <c r="H1" s="6" t="n"/>
      <c r="I1" s="6" t="n"/>
    </row>
    <row r="2" ht="42" customHeight="1">
      <c r="A2" s="7" t="inlineStr">
        <is>
          <t>One row per SharePoint site. About 1,057 rows. Exists for the two things a document level table cannot do: count a site that holds no documents, and hold visit and viewer counts that are measured per site and would be nonsense repeated on every document row.</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site row of the snapshot.</t>
        </is>
      </c>
      <c r="E5" s="10" t="inlineStr">
        <is>
          <t>System generated</t>
        </is>
      </c>
      <c r="F5" s="10" t="inlineStr">
        <is>
          <t>8c1d47b2-93ae-4f60-b1d5-2e7a6f0c9d31</t>
        </is>
      </c>
      <c r="G5" s="10" t="inlineStr">
        <is>
          <t>Job generated</t>
        </is>
      </c>
      <c r="H5" s="10" t="inlineStr"/>
      <c r="I5" s="10" t="inlineStr"/>
    </row>
    <row r="6">
      <c r="A6" s="9" t="n">
        <v>2</v>
      </c>
      <c r="B6" s="18" t="inlineStr">
        <is>
          <t>SnapshotDate</t>
        </is>
      </c>
      <c r="C6" s="10" t="inlineStr">
        <is>
          <t>date</t>
        </is>
      </c>
      <c r="D6" s="10" t="inlineStr">
        <is>
          <t>The date the refresh job captured this data. The same value on every row of a run.</t>
        </is>
      </c>
      <c r="E6" s="10" t="inlineStr">
        <is>
          <t>System generated</t>
        </is>
      </c>
      <c r="F6" s="10" t="inlineStr">
        <is>
          <t>2026-07-27</t>
        </is>
      </c>
      <c r="G6" s="10" t="inlineStr">
        <is>
          <t>Job generated</t>
        </is>
      </c>
      <c r="H6" s="10" t="inlineStr"/>
      <c r="I6" s="10" t="inlineStr">
        <is>
          <t>NEW. PART OF THE PRIMARY KEY. This table is RETAINED: every weekly run inserts a new set of rows rather than replacing the last, so a site has one row per week. Reports read the most recent snapshot unless a date range is applied. The earliest selectable date is the first run, because history that was never captured cannot be recovered.</t>
        </is>
      </c>
    </row>
    <row r="7">
      <c r="A7" s="9" t="n">
        <v>3</v>
      </c>
      <c r="B7" s="18" t="inlineStr">
        <is>
          <t>SiteId</t>
        </is>
      </c>
      <c r="C7" s="10" t="inlineStr">
        <is>
          <t>uuid</t>
        </is>
      </c>
      <c r="D7" s="10" t="inlineStr">
        <is>
          <t>The GUID, meaning the system generated identifier, of the SharePoint site. Stable across a rename, unlike the URL.</t>
        </is>
      </c>
      <c r="E7" s="10" t="inlineStr">
        <is>
          <t>SharePoint site GUID</t>
        </is>
      </c>
      <c r="F7" s="10" t="inlineStr">
        <is>
          <t>019adc9b-031d-4edc-b62f-512ed4671947</t>
        </is>
      </c>
      <c r="G7" s="10" t="inlineStr">
        <is>
          <t>M365 usage report</t>
        </is>
      </c>
      <c r="H7" s="10" t="inlineStr"/>
      <c r="I7" s="10" t="inlineStr">
        <is>
          <t>NEW. The usage export identifies sites by this and leaves Site URL blank on every row, so the refresh job must merge the export with a Graph site list to connect a GUID to a URL.</t>
        </is>
      </c>
    </row>
    <row r="8">
      <c r="A8" s="9" t="n">
        <v>4</v>
      </c>
      <c r="B8" s="18" t="inlineStr">
        <is>
          <t>SiteUrl</t>
        </is>
      </c>
      <c r="C8" s="10" t="inlineStr">
        <is>
          <t>text</t>
        </is>
      </c>
      <c r="D8" s="10" t="inlineStr">
        <is>
          <t>The web address of the site. This is the column that joins this table to the Utilization Report Table.</t>
        </is>
      </c>
      <c r="E8" s="10" t="inlineStr">
        <is>
          <t>Absolute URL</t>
        </is>
      </c>
      <c r="F8" s="10" t="inlineStr">
        <is>
          <t>https://adb.sharepoint.com/sites/edrms-cwrd</t>
        </is>
      </c>
      <c r="G8" s="10" t="inlineStr">
        <is>
          <t>EDRMS database</t>
        </is>
      </c>
      <c r="H8" s="10" t="inlineStr">
        <is>
          <t>Utilization Report Table</t>
        </is>
      </c>
      <c r="I8" s="10" t="inlineStr">
        <is>
          <t>NOT available from the usage export, where it is empty on all 2,575 rows. Comes from Microsoft Graph, matched to the export on SiteId.</t>
        </is>
      </c>
    </row>
    <row r="9">
      <c r="A9" s="9" t="n">
        <v>5</v>
      </c>
      <c r="B9" s="18" t="inlineStr">
        <is>
          <t>SiteName</t>
        </is>
      </c>
      <c r="C9" s="10" t="inlineStr">
        <is>
          <t>text</t>
        </is>
      </c>
      <c r="D9" s="10" t="inlineStr">
        <is>
          <t>The display name of the site.</t>
        </is>
      </c>
      <c r="E9" s="10" t="inlineStr">
        <is>
          <t>Free text</t>
        </is>
      </c>
      <c r="F9" s="10" t="inlineStr">
        <is>
          <t>EDRMS CWRD</t>
        </is>
      </c>
      <c r="G9" s="10" t="inlineStr">
        <is>
          <t>EDRMS database</t>
        </is>
      </c>
      <c r="H9" s="10" t="inlineStr"/>
      <c r="I9" s="10" t="inlineStr"/>
    </row>
    <row r="10">
      <c r="A10" s="9" t="n">
        <v>6</v>
      </c>
      <c r="B10" s="18" t="inlineStr">
        <is>
          <t>SiteCreatedDate</t>
        </is>
      </c>
      <c r="C10" s="10" t="inlineStr">
        <is>
          <t>date</t>
        </is>
      </c>
      <c r="D10" s="10" t="inlineStr">
        <is>
          <t>The date the SharePoint site was created.</t>
        </is>
      </c>
      <c r="E10" s="10" t="inlineStr">
        <is>
          <t>System generated</t>
        </is>
      </c>
      <c r="F10" s="10" t="inlineStr">
        <is>
          <t>2026-01-18</t>
        </is>
      </c>
      <c r="G10" s="10" t="inlineStr">
        <is>
          <t>Microsoft Graph</t>
        </is>
      </c>
      <c r="H10" s="10" t="inlineStr"/>
      <c r="I10" s="10" t="inlineStr">
        <is>
          <t>NEW. Microsoft Graph returns it as createdDateTime on every site.</t>
        </is>
      </c>
    </row>
    <row r="11">
      <c r="A11" s="9" t="n">
        <v>7</v>
      </c>
      <c r="B11" s="18" t="inlineStr">
        <is>
          <t>IsEdrmsCompliant</t>
        </is>
      </c>
      <c r="C11" s="10" t="inlineStr">
        <is>
          <t>boolean</t>
        </is>
      </c>
      <c r="D11" s="10" t="inlineStr">
        <is>
          <t>Whether this is an EDRMS compliant site, meaning the Declare as Record button is available in it.</t>
        </is>
      </c>
      <c r="E11" s="10" t="inlineStr">
        <is>
          <t>true / false</t>
        </is>
      </c>
      <c r="F11" s="10" t="inlineStr">
        <is>
          <t>true</t>
        </is>
      </c>
      <c r="G11" s="13" t="inlineStr">
        <is>
          <t>NEEDS A DECISION</t>
        </is>
      </c>
      <c r="H11" s="10" t="inlineStr"/>
      <c r="I11" s="10" t="inlineStr">
        <is>
          <t>NEW. Determined by whether the EDRMS app is installed on the site. Product ID {B255A2AF-7F63-4A30-966A-5D5FD99F97D7}.</t>
        </is>
      </c>
    </row>
    <row r="12">
      <c r="A12" s="9" t="n">
        <v>8</v>
      </c>
      <c r="B12" s="18" t="inlineStr">
        <is>
          <t>ADBDepartmentOwner</t>
        </is>
      </c>
      <c r="C12" s="10" t="inlineStr">
        <is>
          <t>text</t>
        </is>
      </c>
      <c r="D12" s="10" t="inlineStr">
        <is>
          <t>The department that owns this site.</t>
        </is>
      </c>
      <c r="E12" s="10" t="inlineStr">
        <is>
          <t>Values from the Department term set</t>
        </is>
      </c>
      <c r="F12" s="10" t="inlineStr">
        <is>
          <t>CWRD</t>
        </is>
      </c>
      <c r="G12" s="13" t="inlineStr">
        <is>
          <t>NEEDS A DECISION</t>
        </is>
      </c>
      <c r="H12" s="10" t="inlineStr"/>
      <c r="I12" s="10" t="inlineStr">
        <is>
          <t>GAP. Nothing in SharePoint supplies it. Loaded once from the RAC site mapping, roughly 1,057 rows, and inherited by every document in the site.</t>
        </is>
      </c>
    </row>
    <row r="13">
      <c r="A13" s="9" t="n">
        <v>9</v>
      </c>
      <c r="B13" s="18" t="inlineStr">
        <is>
          <t>ReportRefreshDate</t>
        </is>
      </c>
      <c r="C13" s="10" t="inlineStr">
        <is>
          <t>date</t>
        </is>
      </c>
      <c r="D13" s="10" t="inlineStr">
        <is>
          <t>The last day Microsoft's usage figures actually cover. Every count on this row is measured over the window ending on this date, not on the date the job ran.</t>
        </is>
      </c>
      <c r="E13" s="10" t="inlineStr">
        <is>
          <t>System generated</t>
        </is>
      </c>
      <c r="F13" s="10" t="inlineStr">
        <is>
          <t>2026-08-10</t>
        </is>
      </c>
      <c r="G13" s="10" t="inlineStr">
        <is>
          <t>M365 usage report</t>
        </is>
      </c>
      <c r="H13" s="10" t="inlineStr"/>
      <c r="I13" s="10" t="inlineStr">
        <is>
          <t>NEW. Report Refresh Date in both usage exports. WITHOUT THIS COLUMN THE VISIT COUNTS HAVE NO DATES ATTACHED. Microsoft refreshes on its own schedule and lags: an export taken on 12 Aug 2026 carried figures as at 10 Aug, a two day lag, and the lag varies. A date range must tile on THIS column, never on SnapshotDate, or consecutive weekly windows overlap or leave gaps and the total is quietly wrong. The window covered is ReportRefreshDate minus the period plus one, through ReportRefreshDate.</t>
        </is>
      </c>
    </row>
    <row r="14">
      <c r="A14" s="9" t="n">
        <v>10</v>
      </c>
      <c r="B14" s="18" t="inlineStr">
        <is>
          <t>SiteVisits7</t>
        </is>
      </c>
      <c r="C14" s="10" t="inlineStr">
        <is>
          <t>integer</t>
        </is>
      </c>
      <c r="D14" s="10" t="inlineStr">
        <is>
          <t>The number of page views in the site over the last 7 days.</t>
        </is>
      </c>
      <c r="E14" s="10" t="inlineStr">
        <is>
          <t>System generated</t>
        </is>
      </c>
      <c r="F14" s="10" t="inlineStr">
        <is>
          <t>412</t>
        </is>
      </c>
      <c r="G14" s="10" t="inlineStr">
        <is>
          <t>M365 usage report</t>
        </is>
      </c>
      <c r="H14" s="10" t="inlineStr"/>
      <c r="I14" s="10" t="inlineStr">
        <is>
          <t>NEW. From the Microsoft 365 SharePoint site usage report. THIS IS THE COLUMN A DATE RANGE SUMS. Consecutive weekly snapshots of a 7 day window do not overlap, so adding them across the weeks in a range gives the visits for that range correctly.</t>
        </is>
      </c>
    </row>
    <row r="15">
      <c r="A15" s="9" t="n">
        <v>11</v>
      </c>
      <c r="B15" s="18" t="inlineStr">
        <is>
          <t>SiteVisits30</t>
        </is>
      </c>
      <c r="C15" s="10" t="inlineStr">
        <is>
          <t>integer</t>
        </is>
      </c>
      <c r="D15" s="10" t="inlineStr">
        <is>
          <t>The number of page views in the site over the last 30 days.</t>
        </is>
      </c>
      <c r="E15" s="10" t="inlineStr">
        <is>
          <t>System generated</t>
        </is>
      </c>
      <c r="F15" s="10" t="inlineStr">
        <is>
          <t>4812</t>
        </is>
      </c>
      <c r="G15" s="10" t="inlineStr">
        <is>
          <t>M365 usage report</t>
        </is>
      </c>
      <c r="H15" s="10" t="inlineStr"/>
      <c r="I15" s="10" t="inlineStr">
        <is>
          <t>NEW. Same report at period='D30'. NEVER SUM THIS ACROSS SNAPSHOTS. Weekly runs of a 30 day window overlap heavily, so adding four of them counts most days four times. Point in time reading only.</t>
        </is>
      </c>
    </row>
    <row r="16">
      <c r="A16" s="9" t="n">
        <v>12</v>
      </c>
      <c r="B16" s="18" t="inlineStr">
        <is>
          <t>SiteVisits90</t>
        </is>
      </c>
      <c r="C16" s="10" t="inlineStr">
        <is>
          <t>integer</t>
        </is>
      </c>
      <c r="D16" s="10" t="inlineStr">
        <is>
          <t>The number of page views in the site over the last 90 days.</t>
        </is>
      </c>
      <c r="E16" s="10" t="inlineStr">
        <is>
          <t>System generated</t>
        </is>
      </c>
      <c r="F16" s="10" t="inlineStr">
        <is>
          <t>13240</t>
        </is>
      </c>
      <c r="G16" s="10" t="inlineStr">
        <is>
          <t>M365 usage report</t>
        </is>
      </c>
      <c r="H16" s="10" t="inlineStr"/>
      <c r="I16" s="10" t="inlineStr">
        <is>
          <t>NEW. Same report at period='D90'. Never sum across snapshots, for the same reason as the 30 day figure.</t>
        </is>
      </c>
    </row>
    <row r="17">
      <c r="A17" s="9" t="n">
        <v>13</v>
      </c>
      <c r="B17" s="18" t="inlineStr">
        <is>
          <t>UniqueViewers7</t>
        </is>
      </c>
      <c r="C17" s="10" t="inlineStr">
        <is>
          <t>integer</t>
        </is>
      </c>
      <c r="D17" s="10" t="inlineStr">
        <is>
          <t>The number of distinct people who opened something in the site over the last 7 days.</t>
        </is>
      </c>
      <c r="E17" s="10" t="inlineStr">
        <is>
          <t>System generated</t>
        </is>
      </c>
      <c r="F17" s="10" t="inlineStr">
        <is>
          <t>38</t>
        </is>
      </c>
      <c r="G17" s="10" t="inlineStr">
        <is>
          <t>Site analytics</t>
        </is>
      </c>
      <c r="H17" s="10" t="inlineStr"/>
      <c r="I17" s="10" t="inlineStr">
        <is>
          <t>NEW. NOT in the usage export, which has no unique viewer column at all. Comes from GET /sites/{id}/analytics/lastSevenDays, the actorCount field. Do not sum across sites to count people: anyone working in three sites is counted three times.</t>
        </is>
      </c>
    </row>
    <row r="18">
      <c r="A18" s="9" t="n">
        <v>14</v>
      </c>
      <c r="B18" s="18" t="inlineStr">
        <is>
          <t>UniqueViewersAllTime</t>
        </is>
      </c>
      <c r="C18" s="10" t="inlineStr">
        <is>
          <t>integer</t>
        </is>
      </c>
      <c r="D18" s="10" t="inlineStr">
        <is>
          <t>The number of distinct people who have ever opened something in the site.</t>
        </is>
      </c>
      <c r="E18" s="10" t="inlineStr">
        <is>
          <t>System generated</t>
        </is>
      </c>
      <c r="F18" s="10" t="inlineStr">
        <is>
          <t>122</t>
        </is>
      </c>
      <c r="G18" s="10" t="inlineStr">
        <is>
          <t>Site analytics</t>
        </is>
      </c>
      <c r="H18" s="10" t="inlineStr"/>
      <c r="I18" s="10" t="inlineStr">
        <is>
          <t>NEW. Replaces a UniqueViewers30 column that could not be filled: site analytics offers all time and last seven days only, and there is no 30 or 90 day window. Verified against the tenant, which returned actorCount 12 for org_csd_1.4testsite.</t>
        </is>
      </c>
    </row>
    <row r="19">
      <c r="A19" s="9" t="n">
        <v>15</v>
      </c>
      <c r="B19" s="18" t="inlineStr">
        <is>
          <t>LibraryCount</t>
        </is>
      </c>
      <c r="C19" s="10" t="inlineStr">
        <is>
          <t>integer</t>
        </is>
      </c>
      <c r="D19" s="10" t="inlineStr">
        <is>
          <t>The number of document libraries in the site.</t>
        </is>
      </c>
      <c r="E19" s="10" t="inlineStr">
        <is>
          <t>System generated</t>
        </is>
      </c>
      <c r="F19" s="10" t="inlineStr">
        <is>
          <t>12</t>
        </is>
      </c>
      <c r="G19" s="10" t="inlineStr">
        <is>
          <t>Microsoft Graph</t>
        </is>
      </c>
      <c r="H19" s="10" t="inlineStr"/>
      <c r="I19" s="10" t="inlineStr">
        <is>
          <t>NEW. Microsoft Graph, GET /sites/{id}/drives, counted.</t>
        </is>
      </c>
    </row>
    <row r="20">
      <c r="A20" s="9" t="n">
        <v>16</v>
      </c>
      <c r="B20" s="18" t="inlineStr">
        <is>
          <t>LastActivityDate</t>
        </is>
      </c>
      <c r="C20" s="10" t="inlineStr">
        <is>
          <t>date</t>
        </is>
      </c>
      <c r="D20" s="10" t="inlineStr">
        <is>
          <t>The date anything in the site was last touched.</t>
        </is>
      </c>
      <c r="E20" s="10" t="inlineStr">
        <is>
          <t>System generated</t>
        </is>
      </c>
      <c r="F20" s="10" t="inlineStr">
        <is>
          <t>2026-07-24</t>
        </is>
      </c>
      <c r="G20" s="10" t="inlineStr">
        <is>
          <t>M365 usage report</t>
        </is>
      </c>
      <c r="H20" s="10" t="inlineStr"/>
      <c r="I20" s="10" t="inlineStr">
        <is>
          <t>NEW. A site with no activity for 90 days is reported as inactive. The threshold is applied in the report, not stored here.</t>
        </is>
      </c>
    </row>
    <row r="21">
      <c r="A21" s="9" t="n">
        <v>17</v>
      </c>
      <c r="B21" s="18" t="inlineStr">
        <is>
          <t>StorageUsed</t>
        </is>
      </c>
      <c r="C21" s="10" t="inlineStr">
        <is>
          <t>bigint</t>
        </is>
      </c>
      <c r="D21" s="10" t="inlineStr">
        <is>
          <t>The storage consumed by the site, in bytes.</t>
        </is>
      </c>
      <c r="E21" s="10" t="inlineStr">
        <is>
          <t>System generated</t>
        </is>
      </c>
      <c r="F21" s="10" t="inlineStr">
        <is>
          <t>13636370432</t>
        </is>
      </c>
      <c r="G21" s="10" t="inlineStr">
        <is>
          <t>M365 usage report</t>
        </is>
      </c>
      <c r="H21" s="10" t="inlineStr"/>
      <c r="I21" s="10" t="inlineStr">
        <is>
          <t>NEW. Includes version history, so it reads higher than the sum of FileSize. Expected, not an error.</t>
        </is>
      </c>
    </row>
    <row r="22">
      <c r="A22" s="9" t="n">
        <v>18</v>
      </c>
      <c r="B22" s="18" t="inlineStr">
        <is>
          <t>SiteOwner</t>
        </is>
      </c>
      <c r="C22" s="10" t="inlineStr">
        <is>
          <t>text</t>
        </is>
      </c>
      <c r="D22" s="10" t="inlineStr">
        <is>
          <t>The User Principal Name of the primary site administrator, meaning who to contact about a site that has gone quiet.</t>
        </is>
      </c>
      <c r="E22" s="10" t="inlineStr">
        <is>
          <t>Valid ADB UPN</t>
        </is>
      </c>
      <c r="F22" s="10" t="inlineStr">
        <is>
          <t>jperez@adb.org</t>
        </is>
      </c>
      <c r="G22" s="10" t="inlineStr">
        <is>
          <t>M365 usage report</t>
        </is>
      </c>
      <c r="H22" s="10" t="inlineStr"/>
      <c r="I22" s="10" t="inlineStr">
        <is>
          <t>NEW. Usage export, Owner Principal Name. Verified: 1,899 of 1,918 live sites carry one, so 19 have no owner at all.</t>
        </is>
      </c>
    </row>
    <row r="23">
      <c r="A23" s="9" t="n">
        <v>19</v>
      </c>
      <c r="B23" s="18" t="inlineStr">
        <is>
          <t>ProjectEndDate</t>
        </is>
      </c>
      <c r="C23" s="10" t="inlineStr">
        <is>
          <t>date</t>
        </is>
      </c>
      <c r="D23" s="10" t="inlineStr">
        <is>
          <t>The project end date recorded against the site.</t>
        </is>
      </c>
      <c r="E23" s="10" t="inlineStr">
        <is>
          <t>System generated</t>
        </is>
      </c>
      <c r="F23" s="10" t="inlineStr">
        <is>
          <t>2027-12-31</t>
        </is>
      </c>
      <c r="G23" s="10" t="inlineStr">
        <is>
          <t>EDRMS database</t>
        </is>
      </c>
      <c r="H23" s="10" t="inlineStr">
        <is>
          <t>ADBSites</t>
        </is>
      </c>
      <c r="I23" s="10" t="inlineStr">
        <is>
          <t>Already exists and is populated. The obvious basis for a site closure view.</t>
        </is>
      </c>
    </row>
    <row r="24">
      <c r="A24" s="9" t="n">
        <v>20</v>
      </c>
      <c r="B24" s="18" t="inlineStr">
        <is>
          <t>IsDeleted</t>
        </is>
      </c>
      <c r="C24" s="10" t="inlineStr">
        <is>
          <t>boolean</t>
        </is>
      </c>
      <c r="D24" s="10" t="inlineStr">
        <is>
          <t>Soft delete flag. Closed sites stay in the table so historical figures do not change.</t>
        </is>
      </c>
      <c r="E24" s="10" t="inlineStr">
        <is>
          <t>true / false</t>
        </is>
      </c>
      <c r="F24" s="10" t="inlineStr">
        <is>
          <t>false</t>
        </is>
      </c>
      <c r="G24" s="10" t="inlineStr">
        <is>
          <t>Derived at load</t>
        </is>
      </c>
      <c r="H24" s="10" t="inlineStr"/>
      <c r="I24" s="10" t="inlineStr">
        <is>
          <t>A site missing from the next export is the delete signal.</t>
        </is>
      </c>
    </row>
    <row r="25">
      <c r="A25" s="9" t="n">
        <v>21</v>
      </c>
      <c r="B25" s="18" t="inlineStr">
        <is>
          <t>RowLoadedDate</t>
        </is>
      </c>
      <c r="C25" s="10" t="inlineStr">
        <is>
          <t>timestamp with time zone</t>
        </is>
      </c>
      <c r="D25" s="10" t="inlineStr">
        <is>
          <t>The date and time this row was last written.</t>
        </is>
      </c>
      <c r="E25" s="10" t="inlineStr">
        <is>
          <t>System generated</t>
        </is>
      </c>
      <c r="F25" s="10" t="inlineStr">
        <is>
          <t>2026-07-27 06:00:00+00</t>
        </is>
      </c>
      <c r="G25" s="10" t="inlineStr">
        <is>
          <t>Job generated</t>
        </is>
      </c>
      <c r="H25" s="10" t="inlineStr"/>
      <c r="I25" s="10" t="inlineStr">
        <is>
          <t>NEW. Operational only.</t>
        </is>
      </c>
    </row>
  </sheetData>
  <autoFilter ref="A4:I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USER ACTIVITY TABLE</t>
        </is>
      </c>
      <c r="B1" s="6" t="n"/>
      <c r="C1" s="6" t="n"/>
      <c r="D1" s="6" t="n"/>
      <c r="E1" s="6" t="n"/>
      <c r="F1" s="6" t="n"/>
      <c r="G1" s="6" t="n"/>
      <c r="H1" s="6" t="n"/>
      <c r="I1" s="6" t="n"/>
    </row>
    <row r="2" ht="42" customHeight="1">
      <c r="A2" s="7" t="inlineStr">
        <is>
          <t>One row per person who used SharePoint in the window. About 9,400 rows. Exists because Total EDRMS Users counts people, and a person working in three sites appears in three rows of the Site Activity Table, so summing UniqueViewers30 overstates headcount.</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person row of the snapshot.</t>
        </is>
      </c>
      <c r="E5" s="10" t="inlineStr">
        <is>
          <t>System generated</t>
        </is>
      </c>
      <c r="F5" s="10" t="inlineStr">
        <is>
          <t>b47f2e0a-5c93-41d8-8a16-7f3d05e6b8c2</t>
        </is>
      </c>
      <c r="G5" s="10" t="inlineStr">
        <is>
          <t>Job generated</t>
        </is>
      </c>
      <c r="H5" s="10" t="inlineStr"/>
      <c r="I5" s="10" t="inlineStr"/>
    </row>
    <row r="6">
      <c r="A6" s="9" t="n">
        <v>2</v>
      </c>
      <c r="B6" s="18" t="inlineStr">
        <is>
          <t>SnapshotDate</t>
        </is>
      </c>
      <c r="C6" s="10" t="inlineStr">
        <is>
          <t>date</t>
        </is>
      </c>
      <c r="D6" s="10" t="inlineStr">
        <is>
          <t>The date the refresh job captured this data.</t>
        </is>
      </c>
      <c r="E6" s="10" t="inlineStr">
        <is>
          <t>System generated</t>
        </is>
      </c>
      <c r="F6" s="10" t="inlineStr">
        <is>
          <t>2026-07-27</t>
        </is>
      </c>
      <c r="G6" s="10" t="inlineStr">
        <is>
          <t>Job generated</t>
        </is>
      </c>
      <c r="H6" s="10" t="inlineStr"/>
      <c r="I6" s="10" t="inlineStr">
        <is>
          <t>NEW. PART OF THE PRIMARY KEY. Retained, one row per person per week. Counting distinct UserPrincipalName across the snapshots in a range gives distinct people over that range, which is the only correct way to answer it: viewer counts cannot be added up, because the same person appearing in four weeks would be counted four times.</t>
        </is>
      </c>
    </row>
    <row r="7">
      <c r="A7" s="9" t="n">
        <v>3</v>
      </c>
      <c r="B7" s="18" t="inlineStr">
        <is>
          <t>ReportRefreshDate</t>
        </is>
      </c>
      <c r="C7" s="10" t="inlineStr">
        <is>
          <t>date</t>
        </is>
      </c>
      <c r="D7" s="10" t="inlineStr">
        <is>
          <t>The last day Microsoft's usage figures actually cover. Every count on this row is measured over the window ending on this date, not on the date the job ran.</t>
        </is>
      </c>
      <c r="E7" s="10" t="inlineStr">
        <is>
          <t>System generated</t>
        </is>
      </c>
      <c r="F7" s="10" t="inlineStr">
        <is>
          <t>2026-08-10</t>
        </is>
      </c>
      <c r="G7" s="10" t="inlineStr">
        <is>
          <t>M365 usage report</t>
        </is>
      </c>
      <c r="H7" s="10" t="inlineStr"/>
      <c r="I7" s="10" t="inlineStr">
        <is>
          <t>NEW. Report Refresh Date in both usage exports. WITHOUT THIS COLUMN THE VISIT COUNTS HAVE NO DATES ATTACHED. Microsoft refreshes on its own schedule and lags: an export taken on 12 Aug 2026 carried figures as at 10 Aug, a two day lag, and the lag varies. A date range must tile on THIS column, never on SnapshotDate, or consecutive weekly windows overlap or leave gaps and the total is quietly wrong. The window covered is ReportRefreshDate minus the period plus one, through ReportRefreshDate.</t>
        </is>
      </c>
    </row>
    <row r="8">
      <c r="A8" s="9" t="n">
        <v>4</v>
      </c>
      <c r="B8" s="18" t="inlineStr">
        <is>
          <t>UserPrincipalName</t>
        </is>
      </c>
      <c r="C8" s="10" t="inlineStr">
        <is>
          <t>text</t>
        </is>
      </c>
      <c r="D8" s="10" t="inlineStr">
        <is>
          <t>The User Principal Name, meaning the sign-in email address, of a person who used SharePoint in the window. Counting distinct values of this column is the entire purpose of the table.</t>
        </is>
      </c>
      <c r="E8" s="10" t="inlineStr">
        <is>
          <t>Valid ADB UPN</t>
        </is>
      </c>
      <c r="F8" s="10" t="inlineStr">
        <is>
          <t>jperez@adb.org</t>
        </is>
      </c>
      <c r="G8" s="10" t="inlineStr">
        <is>
          <t>M365 usage report</t>
        </is>
      </c>
      <c r="H8" s="10" t="inlineStr"/>
      <c r="I8" s="10" t="inlineStr">
        <is>
          <t>NEW. This is why the table exists: people cannot be counted from a table of sites. **Monthly active users is NOT the row count**: the export lists every licensed user, active or not. Verified on the tenant, where 30 rows held only 8 people who viewed or edited anything. Count rows where ViewedOrEditedFileCount is above zero.</t>
        </is>
      </c>
    </row>
    <row r="9">
      <c r="A9" s="9" t="n">
        <v>5</v>
      </c>
      <c r="B9" s="18" t="inlineStr">
        <is>
          <t>DisplayName</t>
        </is>
      </c>
      <c r="C9" s="10" t="inlineStr">
        <is>
          <t>text</t>
        </is>
      </c>
      <c r="D9" s="10" t="inlineStr">
        <is>
          <t>The person's display name, for readability when the list is inspected.</t>
        </is>
      </c>
      <c r="E9" s="10" t="inlineStr">
        <is>
          <t>Free text</t>
        </is>
      </c>
      <c r="F9" s="10" t="inlineStr">
        <is>
          <t>J Perez</t>
        </is>
      </c>
      <c r="G9" s="10" t="inlineStr">
        <is>
          <t>Microsoft Graph</t>
        </is>
      </c>
      <c r="H9" s="10" t="inlineStr"/>
      <c r="I9" s="10" t="inlineStr">
        <is>
          <t>NEW. NOT in the activity export, which carries User Principal Name and no display name. Needs a separate Graph call to /users, and it is cosmetic, so drop it if that call is not worth making.</t>
        </is>
      </c>
    </row>
    <row r="10">
      <c r="A10" s="9" t="n">
        <v>6</v>
      </c>
      <c r="B10" s="18" t="inlineStr">
        <is>
          <t>LastActivityDate</t>
        </is>
      </c>
      <c r="C10" s="10" t="inlineStr">
        <is>
          <t>date</t>
        </is>
      </c>
      <c r="D10" s="10" t="inlineStr">
        <is>
          <t>The date of the person's most recent SharePoint activity.</t>
        </is>
      </c>
      <c r="E10" s="10" t="inlineStr">
        <is>
          <t>System generated</t>
        </is>
      </c>
      <c r="F10" s="10" t="inlineStr">
        <is>
          <t>2026-07-24</t>
        </is>
      </c>
      <c r="G10" s="10" t="inlineStr">
        <is>
          <t>M365 usage report</t>
        </is>
      </c>
      <c r="H10" s="10" t="inlineStr"/>
      <c r="I10" s="10" t="inlineStr">
        <is>
          <t>NEW. Filter on this to count active users over 7 or 30 days.</t>
        </is>
      </c>
    </row>
    <row r="11">
      <c r="A11" s="9" t="n">
        <v>7</v>
      </c>
      <c r="B11" s="18" t="inlineStr">
        <is>
          <t>ViewedOrEditedFileCount</t>
        </is>
      </c>
      <c r="C11" s="10" t="inlineStr">
        <is>
          <t>integer</t>
        </is>
      </c>
      <c r="D11" s="10" t="inlineStr">
        <is>
          <t>The number of files the person viewed or edited during the window.</t>
        </is>
      </c>
      <c r="E11" s="10" t="inlineStr">
        <is>
          <t>System generated</t>
        </is>
      </c>
      <c r="F11" s="10" t="inlineStr">
        <is>
          <t>42</t>
        </is>
      </c>
      <c r="G11" s="10" t="inlineStr">
        <is>
          <t>M365 usage report</t>
        </is>
      </c>
      <c r="H11" s="10" t="inlineStr"/>
      <c r="I11" s="10" t="inlineStr">
        <is>
          <t>NEW. Separates heavy users from someone who opened one document, and is the obvious basis for an adoption view.</t>
        </is>
      </c>
    </row>
    <row r="12">
      <c r="A12" s="9" t="n">
        <v>8</v>
      </c>
      <c r="B12" s="18" t="inlineStr">
        <is>
          <t>RowLoadedDate</t>
        </is>
      </c>
      <c r="C12" s="10" t="inlineStr">
        <is>
          <t>timestamp with time zone</t>
        </is>
      </c>
      <c r="D12" s="10" t="inlineStr">
        <is>
          <t>The date and time this row was last written.</t>
        </is>
      </c>
      <c r="E12" s="10" t="inlineStr">
        <is>
          <t>System generated</t>
        </is>
      </c>
      <c r="F12" s="10" t="inlineStr">
        <is>
          <t>2026-07-27 06:00:00+00</t>
        </is>
      </c>
      <c r="G12" s="10" t="inlineStr">
        <is>
          <t>Job generated</t>
        </is>
      </c>
      <c r="H12" s="10" t="inlineStr"/>
      <c r="I12" s="10" t="inlineStr">
        <is>
          <t>NEW. Operational only.</t>
        </is>
      </c>
    </row>
  </sheetData>
  <autoFilter ref="A4:I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FILE PLAN TABLE</t>
        </is>
      </c>
      <c r="B1" s="6" t="n"/>
      <c r="C1" s="6" t="n"/>
      <c r="D1" s="6" t="n"/>
      <c r="E1" s="6" t="n"/>
      <c r="F1" s="6" t="n"/>
      <c r="G1" s="6" t="n"/>
      <c r="H1" s="6" t="n"/>
      <c r="I1" s="6" t="n"/>
    </row>
    <row r="2" ht="42" customHeight="1">
      <c r="A2" s="7" t="inlineStr">
        <is>
          <t>One row per term in the institutional file plan. Exists because the file plan is the taxonomy that classifies content, so its terms are neither documents nor sites nor people and none of the other three tables can hold them.</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term row of the snapshot.</t>
        </is>
      </c>
      <c r="E5" s="10" t="inlineStr">
        <is>
          <t>System generated</t>
        </is>
      </c>
      <c r="F5" s="10" t="inlineStr">
        <is>
          <t>e05b8c31-7d42-4a96-b3f8-1c9e4a70d582</t>
        </is>
      </c>
      <c r="G5" s="10" t="inlineStr">
        <is>
          <t>Job generated</t>
        </is>
      </c>
      <c r="H5" s="10" t="inlineStr"/>
      <c r="I5" s="10" t="inlineStr"/>
    </row>
    <row r="6">
      <c r="A6" s="9" t="n">
        <v>2</v>
      </c>
      <c r="B6" s="18" t="inlineStr">
        <is>
          <t>SnapshotDate</t>
        </is>
      </c>
      <c r="C6" s="10" t="inlineStr">
        <is>
          <t>date</t>
        </is>
      </c>
      <c r="D6" s="10" t="inlineStr">
        <is>
          <t>The date the refresh job captured this data.</t>
        </is>
      </c>
      <c r="E6" s="10" t="inlineStr">
        <is>
          <t>System generated</t>
        </is>
      </c>
      <c r="F6" s="10" t="inlineStr">
        <is>
          <t>2026-07-27</t>
        </is>
      </c>
      <c r="G6" s="10" t="inlineStr">
        <is>
          <t>Job generated</t>
        </is>
      </c>
      <c r="H6" s="10" t="inlineStr"/>
      <c r="I6" s="10" t="inlineStr">
        <is>
          <t>NEW. PART OF THE PRIMARY KEY. Retained, so the file plan can be seen as it stood at any past refresh, which is what shows a taxonomy growing.</t>
        </is>
      </c>
    </row>
    <row r="7">
      <c r="A7" s="9" t="n">
        <v>3</v>
      </c>
      <c r="B7" s="18" t="inlineStr">
        <is>
          <t>TermId</t>
        </is>
      </c>
      <c r="C7" s="10" t="inlineStr">
        <is>
          <t>uuid</t>
        </is>
      </c>
      <c r="D7" s="10" t="inlineStr">
        <is>
          <t>The GUID, meaning the system generated identifier, of the term. Stable across a rename, so counts do not jump when somebody edits a label.</t>
        </is>
      </c>
      <c r="E7" s="10" t="inlineStr">
        <is>
          <t>Term store GUID</t>
        </is>
      </c>
      <c r="F7" s="10" t="inlineStr">
        <is>
          <t>6f2c1a48-9b30-4e75-8d21-c4a7e0f39a41</t>
        </is>
      </c>
      <c r="G7" s="10" t="inlineStr">
        <is>
          <t>Term store</t>
        </is>
      </c>
      <c r="H7" s="10" t="inlineStr"/>
      <c r="I7" s="10" t="inlineStr">
        <is>
          <t>NEW.</t>
        </is>
      </c>
    </row>
    <row r="8">
      <c r="A8" s="9" t="n">
        <v>4</v>
      </c>
      <c r="B8" s="18" t="inlineStr">
        <is>
          <t>TermName</t>
        </is>
      </c>
      <c r="C8" s="10" t="inlineStr">
        <is>
          <t>text</t>
        </is>
      </c>
      <c r="D8" s="10" t="inlineStr">
        <is>
          <t>The label of the term as it appears in the term store.</t>
        </is>
      </c>
      <c r="E8" s="10" t="inlineStr">
        <is>
          <t>Free text</t>
        </is>
      </c>
      <c r="F8" s="10" t="inlineStr">
        <is>
          <t>Procurement Planning</t>
        </is>
      </c>
      <c r="G8" s="10" t="inlineStr">
        <is>
          <t>Term store</t>
        </is>
      </c>
      <c r="H8" s="10" t="inlineStr"/>
      <c r="I8" s="10" t="inlineStr">
        <is>
          <t>NEW.</t>
        </is>
      </c>
    </row>
    <row r="9">
      <c r="A9" s="9" t="n">
        <v>5</v>
      </c>
      <c r="B9" s="18" t="inlineStr">
        <is>
          <t>TermSetName</t>
        </is>
      </c>
      <c r="C9" s="10" t="inlineStr">
        <is>
          <t>text</t>
        </is>
      </c>
      <c r="D9" s="10" t="inlineStr">
        <is>
          <t>The term set the term belongs to.</t>
        </is>
      </c>
      <c r="E9" s="10" t="inlineStr">
        <is>
          <t>Free text</t>
        </is>
      </c>
      <c r="F9" s="10" t="inlineStr">
        <is>
          <t>Procurement</t>
        </is>
      </c>
      <c r="G9" s="10" t="inlineStr">
        <is>
          <t>Term store</t>
        </is>
      </c>
      <c r="H9" s="10" t="inlineStr"/>
      <c r="I9" s="10" t="inlineStr">
        <is>
          <t>NEW.</t>
        </is>
      </c>
    </row>
    <row r="10">
      <c r="A10" s="9" t="n">
        <v>6</v>
      </c>
      <c r="B10" s="18" t="inlineStr">
        <is>
          <t>CategoryName</t>
        </is>
      </c>
      <c r="C10" s="10" t="inlineStr">
        <is>
          <t>text</t>
        </is>
      </c>
      <c r="D10" s="10" t="inlineStr">
        <is>
          <t>The top level term group the term sits under, which is what the report groups by.</t>
        </is>
      </c>
      <c r="E10" s="10" t="inlineStr">
        <is>
          <t>Values from the term store groups</t>
        </is>
      </c>
      <c r="F10" s="10" t="inlineStr">
        <is>
          <t>ADB</t>
        </is>
      </c>
      <c r="G10" s="13" t="inlineStr">
        <is>
          <t>NEEDS A DECISION</t>
        </is>
      </c>
      <c r="H10" s="10" t="inlineStr"/>
      <c r="I10" s="10" t="inlineStr">
        <is>
          <t>NEW. UNVERIFIED. The five categories in the requirement do not exist in the tenant's term store. See the Structure sheet.</t>
        </is>
      </c>
    </row>
    <row r="11">
      <c r="A11" s="9" t="n">
        <v>7</v>
      </c>
      <c r="B11" s="18" t="inlineStr">
        <is>
          <t>Depth</t>
        </is>
      </c>
      <c r="C11" s="10" t="inlineStr">
        <is>
          <t>integer</t>
        </is>
      </c>
      <c r="D11" s="10" t="inlineStr">
        <is>
          <t>How many levels below the term set the term sits. A term directly under a term set is 1.</t>
        </is>
      </c>
      <c r="E11" s="10" t="inlineStr">
        <is>
          <t>System generated</t>
        </is>
      </c>
      <c r="F11" s="10" t="inlineStr">
        <is>
          <t>3</t>
        </is>
      </c>
      <c r="G11" s="10" t="inlineStr">
        <is>
          <t>Term store</t>
        </is>
      </c>
      <c r="H11" s="10" t="inlineStr"/>
      <c r="I11" s="10" t="inlineStr">
        <is>
          <t>NEW. Recorded while walking the tree at no extra cost, and it answers how deep the plan actually runs.</t>
        </is>
      </c>
    </row>
    <row r="12">
      <c r="A12" s="9" t="n">
        <v>8</v>
      </c>
      <c r="B12" s="18" t="inlineStr">
        <is>
          <t>RowLoadedDate</t>
        </is>
      </c>
      <c r="C12" s="10" t="inlineStr">
        <is>
          <t>timestamp with time zone</t>
        </is>
      </c>
      <c r="D12" s="10" t="inlineStr">
        <is>
          <t>The date and time this row was last written.</t>
        </is>
      </c>
      <c r="E12" s="10" t="inlineStr">
        <is>
          <t>System generated</t>
        </is>
      </c>
      <c r="F12" s="10" t="inlineStr">
        <is>
          <t>2026-07-27 06:00:00+00</t>
        </is>
      </c>
      <c r="G12" s="10" t="inlineStr">
        <is>
          <t>Job generated</t>
        </is>
      </c>
      <c r="H12" s="10" t="inlineStr"/>
      <c r="I12" s="10" t="inlineStr">
        <is>
          <t>NEW. Operational only.</t>
        </is>
      </c>
    </row>
  </sheetData>
  <autoFilter ref="A4:I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92" customWidth="1" min="4" max="4"/>
    <col width="22" customWidth="1" min="5" max="5"/>
  </cols>
  <sheetData>
    <row r="1" ht="20" customHeight="1">
      <c r="A1" s="5" t="inlineStr">
        <is>
          <t>Questions to ask, in priority order</t>
        </is>
      </c>
      <c r="B1" s="6" t="n"/>
      <c r="C1" s="6" t="n"/>
      <c r="D1" s="6" t="n"/>
      <c r="E1" s="6" t="n"/>
    </row>
    <row r="2" ht="16" customHeight="1">
      <c r="A2" s="7" t="inlineStr">
        <is>
          <t>Ordered by how much each answer unblocks. Every one also appears against its figures on the dashboard sheets.</t>
        </is>
      </c>
      <c r="B2" s="6" t="n"/>
      <c r="C2" s="6" t="n"/>
      <c r="D2" s="6" t="n"/>
      <c r="E2" s="6" t="n"/>
    </row>
    <row r="4" ht="32" customHeight="1">
      <c r="A4" s="8" t="inlineStr">
        <is>
          <t>#</t>
        </is>
      </c>
      <c r="B4" s="8" t="inlineStr">
        <is>
          <t>Topic</t>
        </is>
      </c>
      <c r="C4" s="8" t="inlineStr">
        <is>
          <t>Who answers</t>
        </is>
      </c>
      <c r="D4" s="8" t="inlineStr">
        <is>
          <t>What to ask, and why</t>
        </is>
      </c>
      <c r="E4" s="8" t="inlineStr">
        <is>
          <t>Unblocks</t>
        </is>
      </c>
    </row>
    <row r="5">
      <c r="A5" s="9" t="n">
        <v>1</v>
      </c>
      <c r="B5" s="18" t="inlineStr">
        <is>
          <t>Institutional file plan</t>
        </is>
      </c>
      <c r="C5" s="10" t="inlineStr">
        <is>
          <t>Client, records management</t>
        </is>
      </c>
      <c r="D5" s="10" t="inlineStr">
        <is>
          <t>Ask where the institutional file plan actually lives. It is in neither the term store, which holds 6 dropdown value sets and 16 terms one level deep, nor Purview, which holds 53 flat retention labels. Why: a whole dashboard waits on the answer</t>
        </is>
      </c>
      <c r="E5" s="10" t="inlineStr">
        <is>
          <t>The whole File Plan dashboard, plus classification everywhere</t>
        </is>
      </c>
    </row>
    <row r="6">
      <c r="A6" s="9" t="n">
        <v>2</v>
      </c>
      <c r="B6" s="18" t="inlineStr">
        <is>
          <t>Site to department list</t>
        </is>
      </c>
      <c r="C6" s="10" t="inlineStr">
        <is>
          <t>RAC, check Cloud Governance first</t>
        </is>
      </c>
      <c r="D6" s="10" t="inlineStr">
        <is>
          <t>Ask RAC for the site to department list, roughly 1,057 rows, one department per site URL. Check AvePoint Cloud Governance first, it may already hold it from the site request. Why: this single list unlocks every departmental figure in the report</t>
        </is>
      </c>
      <c r="E6" s="10" t="inlineStr">
        <is>
          <t>Every departmental figure, and all of Department Insights</t>
        </is>
      </c>
    </row>
    <row r="7">
      <c r="A7" s="9" t="n">
        <v>3</v>
      </c>
      <c r="B7" s="18" t="inlineStr">
        <is>
          <t>Project site register</t>
        </is>
      </c>
      <c r="C7" s="10" t="inlineStr">
        <is>
          <t>RAC, check Cloud Governance first</t>
        </is>
      </c>
      <c r="D7" s="10" t="inlineStr">
        <is>
          <t>Ask whether a project site register exists: site URL to project number, and sovereign or nonsovereign. Check Cloud Governance first. Why: it is the only thing missing for the whole Project Insights dashboard, every measure on it is already producible</t>
        </is>
      </c>
      <c r="E7" s="10" t="inlineStr">
        <is>
          <t>The whole Project Insights dashboard</t>
        </is>
      </c>
    </row>
    <row r="8">
      <c r="A8" s="9" t="n">
        <v>4</v>
      </c>
      <c r="B8" s="18" t="inlineStr">
        <is>
          <t>Term to document join</t>
        </is>
      </c>
      <c r="C8" s="10" t="inlineStr">
        <is>
          <t>Development team</t>
        </is>
      </c>
      <c r="D8" s="10" t="inlineStr">
        <is>
          <t>Ask the development team to add a term reference to the document row, or supply a term to library mapping list. Why: nothing links a term to a document, so no per term figure can be produced even once the file plan is located</t>
        </is>
      </c>
      <c r="E8" s="10" t="inlineStr">
        <is>
          <t>Every per term figure on two dashboards</t>
        </is>
      </c>
    </row>
    <row r="9">
      <c r="A9" s="9" t="n">
        <v>5</v>
      </c>
      <c r="B9" s="18" t="inlineStr">
        <is>
          <t>Disposal status field</t>
        </is>
      </c>
      <c r="C9" s="10" t="inlineStr">
        <is>
          <t>Client, then the development team</t>
        </is>
      </c>
      <c r="D9" s="10" t="inlineStr">
        <is>
          <t>Raise a change request for a disposal status field: status, approver, and date disposed. Why: nothing records that a disposal happened, so every completion figure is unanswerable</t>
        </is>
      </c>
      <c r="E9" s="10" t="inlineStr">
        <is>
          <t>Disposal completion across three dashboards</t>
        </is>
      </c>
    </row>
    <row r="10">
      <c r="A10" s="9" t="n">
        <v>6</v>
      </c>
      <c r="B10" s="18" t="inlineStr">
        <is>
          <t>EDRMS app detection</t>
        </is>
      </c>
      <c r="C10" s="10" t="inlineStr">
        <is>
          <t>Mihal Le</t>
        </is>
      </c>
      <c r="D10" s="10" t="inlineStr">
        <is>
          <t>Ask Leah Bancale for the PRODUCTION Cloud Governance Workspace report export, and whether a converted site is recorded in Cloud Governance the same way a created one is. Why: 'EDRMS Site Type' in that export is the compliant site list, so this single file defines which sites are in the report at all</t>
        </is>
      </c>
      <c r="E10" s="10" t="inlineStr">
        <is>
          <t>Which sites are in the report at all, and 4 KPIs</t>
        </is>
      </c>
    </row>
    <row r="11">
      <c r="A11" s="9" t="n">
        <v>7</v>
      </c>
      <c r="B11" s="18" t="inlineStr">
        <is>
          <t>Division</t>
        </is>
      </c>
      <c r="C11" s="10" t="inlineStr">
        <is>
          <t>Client and RAC</t>
        </is>
      </c>
      <c r="D11" s="10" t="inlineStr">
        <is>
          <t>Ask who supplies division alongside department. Why: the tier was reinstated at the client's request but nothing in the tenant populates it, so the RAC list has to carry a division column too</t>
        </is>
      </c>
      <c r="E11" s="10" t="inlineStr">
        <is>
          <t>Four panels across two dashboards</t>
        </is>
      </c>
    </row>
    <row r="12">
      <c r="A12" s="9" t="n">
        <v>8</v>
      </c>
      <c r="B12" s="18" t="inlineStr">
        <is>
          <t>Staff class and training</t>
        </is>
      </c>
      <c r="C12" s="10" t="inlineStr">
        <is>
          <t>Client, likely HR or an LMS</t>
        </is>
      </c>
      <c r="D12" s="10" t="inlineStr">
        <is>
          <t>Ask which system owns staff, contractor and consultant classification and training completion. The client asks the same question on their own slide 54. Why: nothing in SharePoint holds it</t>
        </is>
      </c>
      <c r="E12" s="10" t="inlineStr">
        <is>
          <t>The user panels on two dashboards</t>
        </is>
      </c>
    </row>
    <row r="13">
      <c r="A13" s="9" t="n">
        <v>9</v>
      </c>
      <c r="B13" s="18" t="inlineStr">
        <is>
          <t>Inactivity threshold</t>
        </is>
      </c>
      <c r="C13" s="10" t="inlineStr">
        <is>
          <t>Client</t>
        </is>
      </c>
      <c r="D13" s="10" t="inlineStr">
        <is>
          <t>Ask whether an inactive site is 90 days or 300. The deck says 90, the metrics document says 300. Why: it changes every inactivity figure, and it is a one line change either way</t>
        </is>
      </c>
      <c r="E13" s="10" t="inlineStr">
        <is>
          <t>Every inactivity figure</t>
        </is>
      </c>
    </row>
    <row r="14">
      <c r="A14" s="9" t="n">
        <v>10</v>
      </c>
      <c r="B14" s="18" t="inlineStr">
        <is>
          <t>Format group mapping</t>
        </is>
      </c>
      <c r="C14" s="10" t="inlineStr">
        <is>
          <t>RAC</t>
        </is>
      </c>
      <c r="D14" s="10" t="inlineStr">
        <is>
          <t>Ask RAC for the file extension to format group mapping, a short list. Why: without it every extension falls into All other formats</t>
        </is>
      </c>
      <c r="E14" s="10" t="inlineStr">
        <is>
          <t>The format and storage panel</t>
        </is>
      </c>
    </row>
    <row r="15">
      <c r="A15" s="9" t="n">
        <v>11</v>
      </c>
      <c r="B15" s="18" t="inlineStr">
        <is>
          <t>Reference lists</t>
        </is>
      </c>
      <c r="C15" s="10" t="inlineStr">
        <is>
          <t>Client</t>
        </is>
      </c>
      <c r="D15" s="10" t="inlineStr">
        <is>
          <t>Ask who maintains this list and where it will live. Why: it is not a measurement, nothing can generate it, and without an owner the panel stays empty</t>
        </is>
      </c>
      <c r="E15" s="10" t="inlineStr">
        <is>
          <t>Go-live dates, conventions and programme dates on Department Insights</t>
        </is>
      </c>
    </row>
    <row r="16">
      <c r="A16" s="9" t="n">
        <v>12</v>
      </c>
      <c r="B16" s="18" t="inlineStr">
        <is>
          <t>Archived sites</t>
        </is>
      </c>
      <c r="C16" s="10" t="inlineStr">
        <is>
          <t>Client</t>
        </is>
      </c>
      <c r="D16" s="10" t="inlineStr">
        <is>
          <t>Ask what archived means for a site, and how it is marked. Why: there is no definition anywhere, so the figure cannot be counted</t>
        </is>
      </c>
      <c r="E16" s="10" t="inlineStr">
        <is>
          <t>One tile, and the definition behind it</t>
        </is>
      </c>
    </row>
    <row r="17">
      <c r="A17" s="9" t="n">
        <v>13</v>
      </c>
      <c r="B17" s="18" t="inlineStr">
        <is>
          <t>Physical holdings</t>
        </is>
      </c>
      <c r="C17" s="10" t="inlineStr">
        <is>
          <t>RAC</t>
        </is>
      </c>
      <c r="D17"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E17" s="10" t="inlineStr">
        <is>
          <t>The whole Records and Archive Holdings dashboard</t>
        </is>
      </c>
    </row>
    <row r="18">
      <c r="A18" s="9" t="n">
        <v>14</v>
      </c>
      <c r="B18" s="18" t="inlineStr">
        <is>
          <t>Audit log access</t>
        </is>
      </c>
      <c r="C18" s="10" t="inlineStr">
        <is>
          <t>Client and ITD</t>
        </is>
      </c>
      <c r="D18" s="10" t="inlineStr">
        <is>
          <t>Ask whether audit log access can be granted, and confirm the purpose. Why: access requests, external sharing and permission exceptions live in the audit log, a different Graph surface with a different permission set</t>
        </is>
      </c>
      <c r="E18" s="10" t="inlineStr">
        <is>
          <t>Access management and visitor split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4" customWidth="1" min="1" max="1"/>
    <col width="34" customWidth="1" min="2" max="2"/>
    <col width="12" customWidth="1" min="3" max="3"/>
    <col width="12" customWidth="1" min="4" max="4"/>
    <col width="78" customWidth="1" min="5" max="5"/>
  </cols>
  <sheetData>
    <row r="1" ht="20" customHeight="1">
      <c r="A1" s="5" t="inlineStr">
        <is>
          <t>Summary</t>
        </is>
      </c>
      <c r="B1" s="6" t="n"/>
      <c r="C1" s="6" t="n"/>
      <c r="D1" s="6" t="n"/>
      <c r="E1" s="6" t="n"/>
    </row>
    <row r="2" ht="16" customHeight="1">
      <c r="A2" s="7" t="inlineStr">
        <is>
          <t>Every count is a formula over the six dashboard sheets, so it follows any edit made there.</t>
        </is>
      </c>
      <c r="B2" s="6" t="n"/>
      <c r="C2" s="6" t="n"/>
      <c r="D2" s="6" t="n"/>
      <c r="E2" s="6" t="n"/>
    </row>
    <row r="4">
      <c r="B4" s="19" t="inlineStr">
        <is>
          <t>By status</t>
        </is>
      </c>
    </row>
    <row r="5" ht="32" customHeight="1">
      <c r="A5" s="8" t="n"/>
      <c r="B5" s="8" t="inlineStr">
        <is>
          <t>Status</t>
        </is>
      </c>
      <c r="C5" s="8" t="inlineStr">
        <is>
          <t>Count</t>
        </is>
      </c>
      <c r="D5" s="8" t="inlineStr">
        <is>
          <t>Share</t>
        </is>
      </c>
      <c r="E5" s="8" t="inlineStr">
        <is>
          <t>What it means</t>
        </is>
      </c>
    </row>
    <row r="6">
      <c r="A6" s="10" t="n"/>
      <c r="B6" s="20" t="inlineStr">
        <is>
          <t>Buildable now</t>
        </is>
      </c>
      <c r="C6" s="21">
        <f>COUNTIF('01 Bank-wide Oversight'!$P:$P,$B6)+COUNTIF('02 Department Insights'!$P:$P,$B6)+COUNTIF('03 Project Insights'!$P:$P,$B6)+COUNTIF('04 Institutional File Plan'!$P:$P,$B6)+COUNTIF('05 Retention and Disposal'!$P:$P,$B6)+COUNTIF('06 Records and Archive Holdings'!$P:$P,$B6)</f>
        <v/>
      </c>
      <c r="D6" s="22">
        <f>IF($C$13=0,0,C6/$C$13)</f>
        <v/>
      </c>
      <c r="E6" s="10" t="inlineStr">
        <is>
          <t>Sourceable from the 73 column design as it stands</t>
        </is>
      </c>
    </row>
    <row r="7">
      <c r="A7" s="10" t="n"/>
      <c r="B7" s="23" t="inlineStr">
        <is>
          <t>Needs department list</t>
        </is>
      </c>
      <c r="C7" s="21">
        <f>COUNTIF('01 Bank-wide Oversight'!$P:$P,$B7)+COUNTIF('02 Department Insights'!$P:$P,$B7)+COUNTIF('03 Project Insights'!$P:$P,$B7)+COUNTIF('04 Institutional File Plan'!$P:$P,$B7)+COUNTIF('05 Retention and Disposal'!$P:$P,$B7)+COUNTIF('06 Records and Archive Holdings'!$P:$P,$B7)</f>
        <v/>
      </c>
      <c r="D7" s="22">
        <f>IF($C$13=0,0,C7/$C$13)</f>
        <v/>
      </c>
      <c r="E7" s="10" t="inlineStr">
        <is>
          <t>Buildable the moment RAC supply the site to department list</t>
        </is>
      </c>
    </row>
    <row r="8">
      <c r="A8" s="10" t="n"/>
      <c r="B8" s="24" t="inlineStr">
        <is>
          <t>Needs new column or join</t>
        </is>
      </c>
      <c r="C8" s="21">
        <f>COUNTIF('01 Bank-wide Oversight'!$P:$P,$B8)+COUNTIF('02 Department Insights'!$P:$P,$B8)+COUNTIF('03 Project Insights'!$P:$P,$B8)+COUNTIF('04 Institutional File Plan'!$P:$P,$B8)+COUNTIF('05 Retention and Disposal'!$P:$P,$B8)+COUNTIF('06 Records and Archive Holdings'!$P:$P,$B8)</f>
        <v/>
      </c>
      <c r="D8" s="22">
        <f>IF($C$13=0,0,C8/$C$13)</f>
        <v/>
      </c>
      <c r="E8" s="10" t="inlineStr">
        <is>
          <t>The design must change: a new column, or a join that does not exist</t>
        </is>
      </c>
    </row>
    <row r="9">
      <c r="A9" s="10" t="n"/>
      <c r="B9" s="25" t="inlineStr">
        <is>
          <t>Needs application change</t>
        </is>
      </c>
      <c r="C9" s="21">
        <f>COUNTIF('01 Bank-wide Oversight'!$P:$P,$B9)+COUNTIF('02 Department Insights'!$P:$P,$B9)+COUNTIF('03 Project Insights'!$P:$P,$B9)+COUNTIF('04 Institutional File Plan'!$P:$P,$B9)+COUNTIF('05 Retention and Disposal'!$P:$P,$B9)+COUNTIF('06 Records and Archive Holdings'!$P:$P,$B9)</f>
        <v/>
      </c>
      <c r="D9" s="22">
        <f>IF($C$13=0,0,C9/$C$13)</f>
        <v/>
      </c>
      <c r="E9" s="10" t="inlineStr">
        <is>
          <t>Needs a new field in the EDRMS application, a development change request</t>
        </is>
      </c>
    </row>
    <row r="10">
      <c r="A10" s="10" t="n"/>
      <c r="B10" s="26" t="inlineStr">
        <is>
          <t>Needs reference list</t>
        </is>
      </c>
      <c r="C10" s="21">
        <f>COUNTIF('01 Bank-wide Oversight'!$P:$P,$B10)+COUNTIF('02 Department Insights'!$P:$P,$B10)+COUNTIF('03 Project Insights'!$P:$P,$B10)+COUNTIF('04 Institutional File Plan'!$P:$P,$B10)+COUNTIF('05 Retention and Disposal'!$P:$P,$B10)+COUNTIF('06 Records and Archive Holdings'!$P:$P,$B10)</f>
        <v/>
      </c>
      <c r="D10" s="22">
        <f>IF($C$13=0,0,C10/$C$13)</f>
        <v/>
      </c>
      <c r="E10" s="10" t="inlineStr">
        <is>
          <t>Not a measurement. Somebody has to maintain a list for it to exist</t>
        </is>
      </c>
    </row>
    <row r="11">
      <c r="A11" s="10" t="n"/>
      <c r="B11" s="27" t="inlineStr">
        <is>
          <t>Needs new data source</t>
        </is>
      </c>
      <c r="C11" s="21">
        <f>COUNTIF('01 Bank-wide Oversight'!$P:$P,$B11)+COUNTIF('02 Department Insights'!$P:$P,$B11)+COUNTIF('03 Project Insights'!$P:$P,$B11)+COUNTIF('04 Institutional File Plan'!$P:$P,$B11)+COUNTIF('05 Retention and Disposal'!$P:$P,$B11)+COUNTIF('06 Records and Archive Holdings'!$P:$P,$B11)</f>
        <v/>
      </c>
      <c r="D11" s="22">
        <f>IF($C$13=0,0,C11/$C$13)</f>
        <v/>
      </c>
      <c r="E11" s="10" t="inlineStr">
        <is>
          <t>A system we have not touched, or data no API returns</t>
        </is>
      </c>
    </row>
    <row r="12">
      <c r="A12" s="10" t="n"/>
      <c r="B12" s="28" t="inlineStr">
        <is>
          <t>Decision needed</t>
        </is>
      </c>
      <c r="C12" s="21">
        <f>COUNTIF('01 Bank-wide Oversight'!$P:$P,$B12)+COUNTIF('02 Department Insights'!$P:$P,$B12)+COUNTIF('03 Project Insights'!$P:$P,$B12)+COUNTIF('04 Institutional File Plan'!$P:$P,$B12)+COUNTIF('05 Retention and Disposal'!$P:$P,$B12)+COUNTIF('06 Records and Archive Holdings'!$P:$P,$B12)</f>
        <v/>
      </c>
      <c r="D12" s="22">
        <f>IF($C$13=0,0,C12/$C$13)</f>
        <v/>
      </c>
      <c r="E12" s="10" t="inlineStr">
        <is>
          <t>The client must answer before it can be scoped</t>
        </is>
      </c>
    </row>
    <row r="13">
      <c r="A13" s="10" t="n"/>
      <c r="B13" s="29" t="inlineStr">
        <is>
          <t>Total figures checked</t>
        </is>
      </c>
      <c r="C13" s="30">
        <f>SUM(C6:C12)</f>
        <v/>
      </c>
      <c r="D13" s="31" t="n"/>
      <c r="E13" s="29" t="n"/>
    </row>
    <row r="15">
      <c r="B15" s="19" t="inlineStr">
        <is>
          <t>By dashboard</t>
        </is>
      </c>
    </row>
    <row r="16" ht="32" customHeight="1">
      <c r="A16" s="8" t="n"/>
      <c r="B16" s="8" t="inlineStr">
        <is>
          <t>Dashboard</t>
        </is>
      </c>
      <c r="C16" s="8" t="inlineStr">
        <is>
          <t>Figures</t>
        </is>
      </c>
      <c r="D16" s="8" t="inlineStr">
        <is>
          <t>Buildable now</t>
        </is>
      </c>
      <c r="E16" s="8" t="inlineStr">
        <is>
          <t>Blocked on something</t>
        </is>
      </c>
    </row>
    <row r="17">
      <c r="A17" s="10" t="n"/>
      <c r="B17" s="10" t="inlineStr">
        <is>
          <t>Bank-wide Oversight</t>
        </is>
      </c>
      <c r="C17" s="21">
        <f>COUNTA('01 Bank-wide Oversight'!$P$5:$P$200)</f>
        <v/>
      </c>
      <c r="D17" s="21">
        <f>COUNTIF('01 Bank-wide Oversight'!$P$5:$P$200,"Buildable now")</f>
        <v/>
      </c>
      <c r="E17" s="21">
        <f>C17-D17</f>
        <v/>
      </c>
    </row>
    <row r="18">
      <c r="A18" s="10" t="n"/>
      <c r="B18" s="10" t="inlineStr">
        <is>
          <t>Department Insights</t>
        </is>
      </c>
      <c r="C18" s="21">
        <f>COUNTA('02 Department Insights'!$P$5:$P$200)</f>
        <v/>
      </c>
      <c r="D18" s="21">
        <f>COUNTIF('02 Department Insights'!$P$5:$P$200,"Buildable now")</f>
        <v/>
      </c>
      <c r="E18" s="21">
        <f>C18-D18</f>
        <v/>
      </c>
    </row>
    <row r="19">
      <c r="A19" s="10" t="n"/>
      <c r="B19" s="10" t="inlineStr">
        <is>
          <t>Project Insights</t>
        </is>
      </c>
      <c r="C19" s="21">
        <f>COUNTA('03 Project Insights'!$P$5:$P$200)</f>
        <v/>
      </c>
      <c r="D19" s="21">
        <f>COUNTIF('03 Project Insights'!$P$5:$P$200,"Buildable now")</f>
        <v/>
      </c>
      <c r="E19" s="21">
        <f>C19-D19</f>
        <v/>
      </c>
    </row>
    <row r="20">
      <c r="A20" s="10" t="n"/>
      <c r="B20" s="10" t="inlineStr">
        <is>
          <t>Institutional File Plan Insights</t>
        </is>
      </c>
      <c r="C20" s="21">
        <f>COUNTA('04 Institutional File Plan'!$P$5:$P$200)</f>
        <v/>
      </c>
      <c r="D20" s="21">
        <f>COUNTIF('04 Institutional File Plan'!$P$5:$P$200,"Buildable now")</f>
        <v/>
      </c>
      <c r="E20" s="21">
        <f>C20-D20</f>
        <v/>
      </c>
    </row>
    <row r="21">
      <c r="A21" s="10" t="n"/>
      <c r="B21" s="10" t="inlineStr">
        <is>
          <t>Retention and Disposal Insights</t>
        </is>
      </c>
      <c r="C21" s="21">
        <f>COUNTA('05 Retention and Disposal'!$P$5:$P$200)</f>
        <v/>
      </c>
      <c r="D21" s="21">
        <f>COUNTIF('05 Retention and Disposal'!$P$5:$P$200,"Buildable now")</f>
        <v/>
      </c>
      <c r="E21" s="21">
        <f>C21-D21</f>
        <v/>
      </c>
    </row>
    <row r="22">
      <c r="A22" s="10" t="n"/>
      <c r="B22" s="10" t="inlineStr">
        <is>
          <t>Records and Archive Holdings</t>
        </is>
      </c>
      <c r="C22" s="21">
        <f>COUNTA('06 Records and Archive Holdings'!$P$5:$P$200)</f>
        <v/>
      </c>
      <c r="D22" s="21">
        <f>COUNTIF('06 Records and Archive Holdings'!$P$5:$P$200,"Buildable now")</f>
        <v/>
      </c>
      <c r="E22" s="21">
        <f>C22-D22</f>
        <v/>
      </c>
    </row>
    <row r="23">
      <c r="A23" s="10" t="n"/>
      <c r="B23" s="29" t="inlineStr">
        <is>
          <t>Total</t>
        </is>
      </c>
      <c r="C23" s="30">
        <f>SUM(C17:C22)</f>
        <v/>
      </c>
      <c r="D23" s="30">
        <f>SUM(D17:D22)</f>
        <v/>
      </c>
      <c r="E23" s="30">
        <f>SUM(E17:E22)</f>
        <v/>
      </c>
    </row>
    <row r="25">
      <c r="B25" s="32" t="inlineStr">
        <is>
          <t>Hand check at build time</t>
        </is>
      </c>
    </row>
    <row r="26">
      <c r="B26" s="33" t="inlineStr">
        <is>
          <t>These counts are formulas over the six dashboard sheets, not typed numbers, so they follow any edit made there. LibreOffice cannot recalculate in the build environment, so they ship without cached values: Excel computes them on open, but a lightweight previewer may show them blank. Counted by hand at build time there were 109 figures, being 19 , 19 Ask RAC for the site to department list, roughly 1,057 rows, one department per site URL. Check AvePoint Cloud Governance first, it may already hold it from the site request. Why: this single list unlocks every departmental figure in the report, 8 Ask whether a project site register exists: site URL to project number, and sovereign or nonsovereign. Check Cloud Governance first. Why: it is the only thing missing for the whole Project Insights dashboard, every measure on it is already producible, 7 Ask RAC for the physical holdings system: boxes, folders, locations, transfers and retrievals. Slide 67 names eServe for retrievals and shows an IR Dashboard screenshot. Why: none of it is in any system this report reads, and access to that dashboard may answer most of it, 5 Ask the development team to add a term reference to the document row, or supply a term to library mapping list. Why: nothing links a term to a document, so no per term figure can be produced even once the file plan is located, 4 Raise a change request for a disposal status field: status, approver, and date disposed. Why: nothing records that a disposal happened, so every completion figure is unanswerable, 4 Ask whether audit log access can be granted, and confirm the purpose. Why: access requests, external sharing and permission exceptions live in the audit log, a different Graph surface with a different permission set, 3 Ask which system owns staff, contractor and consultant classification and training completion. The client asks the same question on their own slide 54. Why: nothing in SharePoint holds it, 3 Ask who supplies division alongside department. Why: the tier was reinstated at the client's request but nothing in the tenant populates it, so the RAC list has to carry a division column too, 3 Ask whether an inactive site is 90 days or 300. The deck says 90, the metrics document says 300. Why: it changes every inactivity figure, and it is a one line change either way, 3 Ask who maintains this list and where it will live. Why: it is not a measurement, nothing can generate it, and without an owner the panel stays empty, 2 Confirm the 12 month window is the one they want on the tile, and that the 30 day, 90 day and 12 month figures should nest inside one another, 2 Ask Leah Bancale for the PRODUCTION Cloud Governance Workspace report export, and whether a converted site is recorded in Cloud Governance the same way a created one is. Why: 'EDRMS Site Type' in that export is the compliant site list, so this single file defines which sites are in the report at all. Also Ask whether an inactive site is 90 days or 300. The deck says 90, the metrics document says 300. Why: it changes every inactivity figure, and it is a one line change either way, 2 Ask where the institutional file plan actually lives. It is in neither the term store, which holds 6 dropdown value sets and 16 terms one level deep, nor Purview, which holds 53 flat retention labels. Why: a whole dashboard waits on the answer, 1 How should EDRMS User be defined? Aldo Enriquez raised this on 10 Aug and Kylee Williamson replied that it will need defining. Neither settled it, and every option is buildable today, so this is a definition to agree rather than work to do, 1 Four questions, in the FINAL REMARKS column, ready to send to development, 1 Ask the development team to capture Author on the document scan. Why: without it, creation activity can only be measured for records, not for documents, 1 None, but be explicit with the client that every rate waits on the scan, 1 Confirm that a deleted site should be counted from its disappearance between two exports. Why: absence cannot distinguish a deletion from a permissions change that hides the site, 1 Ask what archived means for a site, and how it is marked. Why: there is no definition anywhere, so the figure cannot be counted, 1 Confirm the job start date with the client. Why: the trend can only begin when weekly capture begins, and history never captured cannot be recovered, 1 Ask RAC for the file extension to format group mapping, a short list. Why: without it every extension falls into All other formats, 1 Tell the client this cannot be produced and offer records created per library instead. Why: Microsoft exposes no per library activity anywhere, 1 Ask whether a library owner is maintained anywhere. Why: the site owner is the only one the tenant returns, 1 Confirm the definition. Why: the client wrote 'with same filenames?' themselves, so they already suspect it is imprecise, 1 Confirm what counts as orphaned. Why: a missing site, a missing library and a missing owner give three different numbers, 1 Confirm the label names in use. Why: the tiles must carry the tenant's own wording, 1 Add External Sharing to the site table, and check the four link count columns on production. Why: they are all zero in the test tenant, which may mean no sharing or may mean not populated, and those are very different answers, 1 Tell the client search analytics cannot be attributed to a record. Why: Microsoft reports them at tenant level only, 1 Offer most active sites instead. Why: document grain analytics do not exist, 1 Warn the client only 7 day and all time windows exist. Why: their slide implies a monthly figure, 1 Ask where the institutional file plan actually lives. It is in neither the term store, which holds 6 dropdown value sets and 16 terms one level deep, nor Purview, which holds 53 flat retention labels. Why: a whole dashboard waits on the answer. Also Ask the development team to add a term reference to the document row, or supply a term to library mapping list. Why: nothing links a term to a document, so no per term figure can be produced even once the file plan is located, 1 Tell the client this is not available at library grain. Why: Microsoft exposes no per library viewer feed, 1 Ask the development team to add a term reference to the document row, or supply a term to library mapping list. Why: nothing links a term to a document, so no per term figure can be produced even once the file plan is located. Also Ask RAC for the site to department list, roughly 1,057 rows, one department per site URL. Check AvePoint Cloud Governance first, it may already hold it from the site request. Why: this single list unlocks every departmental figure in the report, 1 Ask what a business process is and how it relates to a file plan term. Why: the two are not the same thing, and it cannot be counted until somebody says what it counts, 1 Warn that this counts dates passed, not action outstanding. Why: the two read alike and are not the same, 1 Check the mapping list's key yourself before asking anyone. Why: it decides whether this metric is safe or fragile, and it is a five minute check, 1 Ask RAC for the physical holdings system: boxes, folders, locations, transfers and retrievals. Slide 67 names eServe for retrievals and shows an IR Dashboard screenshot. Why: none of it is in any system this report reads, and access to that dashboard may answer most of it. Answer their direct question: capacity can be displayed the moment somebody holds the figure, 1 Ask for access to the IR Dashboard shown on slide 67, and ask what is available in Opus. Why: both are their own questions to us, and the IR Dashboard may already hold most of this.</t>
        </is>
      </c>
    </row>
    <row r="27"/>
    <row r="28"/>
    <row r="29"/>
  </sheetData>
  <mergeCells count="1">
    <mergeCell ref="B26:E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2026-08-14T07:34:31Z</dcterms:created>
  <dcterms:modified xsi:type="dcterms:W3CDTF">2026-08-14T07:34:32Z</dcterms:modified>
</cp:coreProperties>
</file>