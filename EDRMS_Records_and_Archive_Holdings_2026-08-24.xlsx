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verview (s67)" sheetId="2" state="visible" r:id="rId2"/>
    <sheet name="Storage (s68)" sheetId="3" state="visible" r:id="rId3"/>
    <sheet name="Retrieval (s69)" sheetId="4" state="visible" r:id="rId4"/>
    <sheet name="Month and dept cuts" sheetId="5" state="visible" r:id="rId5"/>
    <sheet name="Pending and disposal" sheetId="6" state="visible" r:id="rId6"/>
    <sheet name="Reconciliation" sheetId="7" state="visible" r:id="rId7"/>
    <sheet name="Open items"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0243E"/>
      <sz val="14"/>
    </font>
    <font>
      <name val="Arial"/>
      <i val="1"/>
      <color rgb="006B7A8C"/>
      <sz val="9"/>
    </font>
    <font>
      <name val="Arial"/>
      <sz val="10"/>
    </font>
    <font>
      <name val="Arial"/>
      <b val="1"/>
      <color rgb="0010243E"/>
      <sz val="10"/>
    </font>
    <font>
      <name val="Arial"/>
      <b val="1"/>
      <color rgb="00FFFFFF"/>
      <sz val="10"/>
    </font>
    <font>
      <name val="Arial"/>
      <b val="1"/>
      <sz val="10"/>
    </font>
    <font>
      <name val="Arial"/>
      <b val="1"/>
      <color rgb="001F7A4D"/>
      <sz val="10"/>
    </font>
    <font>
      <name val="Arial"/>
      <b val="1"/>
      <color rgb="00C00000"/>
      <sz val="10"/>
    </font>
  </fonts>
  <fills count="4">
    <fill>
      <patternFill/>
    </fill>
    <fill>
      <patternFill patternType="gray125"/>
    </fill>
    <fill>
      <patternFill patternType="solid">
        <fgColor rgb="00EEF2F6"/>
      </patternFill>
    </fill>
    <fill>
      <patternFill patternType="solid">
        <fgColor rgb="0010243E"/>
      </patternFill>
    </fill>
  </fills>
  <borders count="2">
    <border>
      <left/>
      <right/>
      <top/>
      <bottom/>
      <diagonal/>
    </border>
    <border>
      <left style="thin">
        <color rgb="00D9E1EA"/>
      </left>
      <right style="thin">
        <color rgb="00D9E1EA"/>
      </right>
      <top style="thin">
        <color rgb="00D9E1EA"/>
      </top>
      <bottom style="thin">
        <color rgb="00D9E1EA"/>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pivotButton="0" quotePrefix="0" xfId="0"/>
    <xf numFmtId="0" fontId="0" fillId="2" borderId="1" pivotButton="0" quotePrefix="0" xfId="0"/>
    <xf numFmtId="0" fontId="5" fillId="3" borderId="1" applyAlignment="1" pivotButton="0" quotePrefix="0" xfId="0">
      <alignment vertical="center" wrapText="1"/>
    </xf>
    <xf numFmtId="0" fontId="3" fillId="0" borderId="1" applyAlignment="1" pivotButton="0" quotePrefix="0" xfId="0">
      <alignment vertical="top" wrapText="1"/>
    </xf>
    <xf numFmtId="3" fontId="3" fillId="0" borderId="1" applyAlignment="1" pivotButton="0" quotePrefix="0" xfId="0">
      <alignment horizontal="right" vertical="top"/>
    </xf>
    <xf numFmtId="164" fontId="3" fillId="0" borderId="1" applyAlignment="1" pivotButton="0" quotePrefix="0" xfId="0">
      <alignment horizontal="right" vertical="top"/>
    </xf>
    <xf numFmtId="0" fontId="6" fillId="0" borderId="1" applyAlignment="1" pivotButton="0" quotePrefix="0" xfId="0">
      <alignment vertical="top" wrapText="1"/>
    </xf>
    <xf numFmtId="3" fontId="6" fillId="0" borderId="1" applyAlignment="1" pivotButton="0" quotePrefix="0" xfId="0">
      <alignment horizontal="right" vertical="top"/>
    </xf>
    <xf numFmtId="164" fontId="6" fillId="0" borderId="1" applyAlignment="1" pivotButton="0" quotePrefix="0" xfId="0">
      <alignment horizontal="right" vertical="top"/>
    </xf>
    <xf numFmtId="3" fontId="6" fillId="0" borderId="1" applyAlignment="1" pivotButton="0" quotePrefix="0" xfId="0">
      <alignment vertical="top" wrapText="1"/>
    </xf>
    <xf numFmtId="0" fontId="2" fillId="0" borderId="0" pivotButton="0" quotePrefix="0" xfId="0"/>
    <xf numFmtId="0" fontId="7" fillId="0" borderId="1" applyAlignment="1" pivotButton="0" quotePrefix="0" xfId="0">
      <alignment vertical="top" wrapText="1"/>
    </xf>
    <xf numFmtId="0" fontId="6" fillId="0" borderId="1" applyAlignment="1" pivotButton="0" quotePrefix="0" xfId="0">
      <alignment horizontal="center" vertical="top"/>
    </xf>
    <xf numFmtId="0" fontId="8" fillId="0" borderId="1" applyAlignment="1" pivotButton="0" quotePrefix="0" xfId="0">
      <alignment vertical="top" wrapText="1"/>
    </xf>
    <xf numFmtId="3" fontId="7"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showGridLines="0" workbookViewId="0">
      <selection activeCell="A1" sqref="A1"/>
    </sheetView>
  </sheetViews>
  <sheetFormatPr baseColWidth="8" defaultRowHeight="15"/>
  <cols>
    <col width="42" customWidth="1" min="1" max="1"/>
    <col width="22" customWidth="1" min="2" max="2"/>
    <col width="78" customWidth="1" min="3" max="3"/>
  </cols>
  <sheetData>
    <row r="1">
      <c r="A1" s="1" t="inlineStr">
        <is>
          <t>Records and Archive Holdings</t>
        </is>
      </c>
    </row>
    <row r="2" ht="26" customHeight="1">
      <c r="A2" s="2" t="inlineStr">
        <is>
          <t>The one dashboard, and nothing else. Generated from the prototype as it stands on 24 August 2026.</t>
        </is>
      </c>
    </row>
    <row r="4" ht="30" customHeight="1">
      <c r="A4" s="3" t="inlineStr">
        <is>
          <t>This workbook covers the sixth dashboard of the EDRMS Utilization Report prototype, Records and Archive Holdings, and no part of the other five.</t>
        </is>
      </c>
    </row>
    <row r="6" ht="45" customHeight="1">
      <c r="A6" s="3" t="inlineStr">
        <is>
          <t>Every figure was read out of the running prototype rather than retyped. extract_ra.js mounts index.html in a browser, opens the dashboard, and computes each split with the page's own split(), weights() and DATA. build_ra_workbook.py then writes this file. Re-run both when the dashboard changes.</t>
        </is>
      </c>
    </row>
    <row r="8" ht="30" customHeight="1">
      <c r="A8" s="3" t="inlineStr">
        <is>
          <t>The reporting period is calendar 2024, because that is the year the client's own slide 67 screenshot covers.</t>
        </is>
      </c>
    </row>
    <row r="10" ht="75" customHeight="1">
      <c r="A10" s="3" t="inlineStr">
        <is>
          <t>WHAT IS THE CLIENT'S AND WHAT IS OURS. The eight totals on the next table are the client's, printed by them on slide 67. Every location, month and department figure in this workbook is a distribution of one of those totals, drawn so the shape of the report can be seen. Those distributions are illustrative and are marked as such on every sheet. Nothing is taken from Opus or from the IR Dashboard, which the client ruled out on 17 August.</t>
        </is>
      </c>
    </row>
    <row r="12" ht="30" customHeight="1">
      <c r="A12" s="3" t="inlineStr">
        <is>
          <t>Sheet 7 reproduces the nine reconciliation checks the dashboard asserts at runtime, each with a live formula, so this workbook proves its own arithmetic rather than asking to be trusted.</t>
        </is>
      </c>
    </row>
    <row r="14" ht="45" customHeight="1">
      <c r="A14" s="3" t="inlineStr">
        <is>
          <t>Sheet 8 carries the two questions slides 68 and 69 put back to this project. They are open and they are not answered here. A capacity chart that answered them with an invented percentage was removed from the dashboard on 24 August.</t>
        </is>
      </c>
    </row>
    <row r="16">
      <c r="A16" s="4" t="inlineStr">
        <is>
          <t>The eight totals published by the client on slide 67</t>
        </is>
      </c>
      <c r="B16" s="5" t="n"/>
      <c r="C16" s="5" t="n"/>
    </row>
    <row r="17" ht="42" customHeight="1">
      <c r="A17" s="6" t="inlineStr">
        <is>
          <t>Measure</t>
        </is>
      </c>
      <c r="B17" s="6" t="inlineStr">
        <is>
          <t>Value</t>
        </is>
      </c>
      <c r="C17" s="6" t="inlineStr">
        <is>
          <t>Note</t>
        </is>
      </c>
    </row>
    <row r="18">
      <c r="A18" s="7" t="inlineStr">
        <is>
          <t>Total storage and retrieval requests</t>
        </is>
      </c>
      <c r="B18" s="8" t="n">
        <v>259</v>
      </c>
      <c r="C18" s="7" t="inlineStr">
        <is>
          <t>Published by the client on slide 67.</t>
        </is>
      </c>
    </row>
    <row r="19">
      <c r="A19" s="7" t="inlineStr">
        <is>
          <t>Total storage activities</t>
        </is>
      </c>
      <c r="B19" s="8" t="n">
        <v>7305</v>
      </c>
      <c r="C19" s="7" t="inlineStr">
        <is>
          <t>Published by the client on slide 67.</t>
        </is>
      </c>
    </row>
    <row r="20">
      <c r="A20" s="7" t="inlineStr">
        <is>
          <t>Boxes stored</t>
        </is>
      </c>
      <c r="B20" s="8" t="n">
        <v>6697</v>
      </c>
      <c r="C20" s="7" t="inlineStr">
        <is>
          <t>The 92 per cent slice of the client's storage donut.</t>
        </is>
      </c>
    </row>
    <row r="21">
      <c r="A21" s="7" t="inlineStr">
        <is>
          <t>Folders stored</t>
        </is>
      </c>
      <c r="B21" s="8" t="n">
        <v>608</v>
      </c>
      <c r="C21" s="7" t="inlineStr">
        <is>
          <t>The 8 per cent slice of the client's storage donut.</t>
        </is>
      </c>
    </row>
    <row r="22">
      <c r="A22" s="7" t="inlineStr">
        <is>
          <t>Total staff supported</t>
        </is>
      </c>
      <c r="B22" s="8" t="n">
        <v>283</v>
      </c>
      <c r="C22" s="7" t="inlineStr">
        <is>
          <t>Published by the client on slide 67.</t>
        </is>
      </c>
    </row>
    <row r="23">
      <c r="A23" s="7" t="inlineStr">
        <is>
          <t>Total retrieval activities</t>
        </is>
      </c>
      <c r="B23" s="8" t="n">
        <v>541</v>
      </c>
      <c r="C23" s="7" t="inlineStr">
        <is>
          <t>Published by the client on slide 67.</t>
        </is>
      </c>
    </row>
    <row r="24">
      <c r="A24" s="7" t="inlineStr">
        <is>
          <t>Archived material retrieved</t>
        </is>
      </c>
      <c r="B24" s="8" t="n">
        <v>492</v>
      </c>
      <c r="C24" s="7" t="inlineStr">
        <is>
          <t>The 91 per cent slice of the client's retrieval donut.</t>
        </is>
      </c>
    </row>
    <row r="25">
      <c r="A25" s="7" t="inlineStr">
        <is>
          <t>Records material retrieved</t>
        </is>
      </c>
      <c r="B25" s="8" t="n">
        <v>49</v>
      </c>
      <c r="C25" s="7" t="inlineStr">
        <is>
          <t>The 9 per cent slice of the client's retrieval donut.</t>
        </is>
      </c>
    </row>
    <row r="27">
      <c r="A27" s="4" t="inlineStr">
        <is>
          <t>Figures set by this project, within the client's totals</t>
        </is>
      </c>
      <c r="B27" s="5" t="n"/>
      <c r="C27" s="5" t="n"/>
    </row>
    <row r="28" ht="42" customHeight="1">
      <c r="A28" s="6" t="inlineStr">
        <is>
          <t>Measure</t>
        </is>
      </c>
      <c r="B28" s="6" t="inlineStr">
        <is>
          <t>Value</t>
        </is>
      </c>
      <c r="C28" s="6" t="inlineStr">
        <is>
          <t>Note</t>
        </is>
      </c>
    </row>
    <row r="29">
      <c r="A29" s="7" t="inlineStr">
        <is>
          <t>Storage requests</t>
        </is>
      </c>
      <c r="B29" s="8" t="n">
        <v>151</v>
      </c>
      <c r="C29" s="7" t="inlineStr">
        <is>
          <t>Splits the client's 259 requests into storage and retrieval.</t>
        </is>
      </c>
    </row>
    <row r="30">
      <c r="A30" s="7" t="inlineStr">
        <is>
          <t>Retrieval requests</t>
        </is>
      </c>
      <c r="B30" s="8" t="n">
        <v>108</v>
      </c>
      <c r="C30" s="7" t="inlineStr">
        <is>
          <t>Splits the client's 259 requests into storage and retrieval.</t>
        </is>
      </c>
    </row>
    <row r="31">
      <c r="A31" s="7" t="inlineStr">
        <is>
          <t>Requestors, departments</t>
        </is>
      </c>
      <c r="B31" s="8" t="n">
        <v>194</v>
      </c>
      <c r="C31" s="7" t="inlineStr">
        <is>
          <t>Splits the client's 283 staff supported.</t>
        </is>
      </c>
    </row>
    <row r="32">
      <c r="A32" s="7" t="inlineStr">
        <is>
          <t>Requestors, RMs</t>
        </is>
      </c>
      <c r="B32" s="8" t="n">
        <v>89</v>
      </c>
      <c r="C32" s="7" t="inlineStr">
        <is>
          <t>Splits the client's 283 staff supported.</t>
        </is>
      </c>
    </row>
    <row r="33">
      <c r="A33" s="7" t="inlineStr">
        <is>
          <t>Boxes retrieved</t>
        </is>
      </c>
      <c r="B33" s="8" t="n">
        <v>496</v>
      </c>
      <c r="C33" s="7" t="inlineStr">
        <is>
          <t>Splits the client's 541 retrieval activities.</t>
        </is>
      </c>
    </row>
    <row r="34">
      <c r="A34" s="7" t="inlineStr">
        <is>
          <t>Folders retrieved</t>
        </is>
      </c>
      <c r="B34" s="8" t="n">
        <v>45</v>
      </c>
      <c r="C34" s="7" t="inlineStr">
        <is>
          <t>Splits the client's 541 retrieval activities.</t>
        </is>
      </c>
    </row>
    <row r="35">
      <c r="A35" s="7" t="inlineStr">
        <is>
          <t>Boxes disposed</t>
        </is>
      </c>
      <c r="B35" s="8" t="n">
        <v>118</v>
      </c>
      <c r="C35" s="7" t="inlineStr">
        <is>
          <t>Slide 69 asks for this. No source yet.</t>
        </is>
      </c>
    </row>
    <row r="36">
      <c r="A36" s="7" t="inlineStr">
        <is>
          <t>Folders disposed</t>
        </is>
      </c>
      <c r="B36" s="8" t="n">
        <v>12</v>
      </c>
      <c r="C36" s="7" t="inlineStr">
        <is>
          <t>Slide 69 asks for this. No source yet.</t>
        </is>
      </c>
    </row>
    <row r="37">
      <c r="A37" s="7" t="inlineStr">
        <is>
          <t>Storage requests outstanding</t>
        </is>
      </c>
      <c r="B37" s="8" t="n">
        <v>23</v>
      </c>
      <c r="C37" s="7" t="inlineStr">
        <is>
          <t>Slide 68 asks for this. No source yet.</t>
        </is>
      </c>
    </row>
    <row r="38">
      <c r="A38" s="7" t="inlineStr">
        <is>
          <t>Retrieval requests outstanding</t>
        </is>
      </c>
      <c r="B38" s="8" t="n">
        <v>17</v>
      </c>
      <c r="C38" s="7" t="inlineStr">
        <is>
          <t>Held in the data, not drawn on the screen.</t>
        </is>
      </c>
    </row>
    <row r="39">
      <c r="A39" s="7" t="inlineStr">
        <is>
          <t>Records awaiting transfer to RAC</t>
        </is>
      </c>
      <c r="B39" s="8" t="n">
        <v>412</v>
      </c>
      <c r="C39" s="7" t="inlineStr">
        <is>
          <t>Of the counterparts identified below. The transfer event has no source.</t>
        </is>
      </c>
    </row>
    <row r="40">
      <c r="A40" s="7" t="inlineStr">
        <is>
          <t>Physical counterparts identified</t>
        </is>
      </c>
      <c r="B40" s="8" t="n">
        <v>3830</v>
      </c>
      <c r="C40" s="7" t="inlineStr">
        <is>
          <t>SOURCED. Declared records recorded in EDRMS as having a paper counterpart. The one figure on this dashboard with a real parent.</t>
        </is>
      </c>
    </row>
  </sheetData>
  <mergeCells count="10">
    <mergeCell ref="A10:C10"/>
    <mergeCell ref="A1:C1"/>
    <mergeCell ref="A16:C16"/>
    <mergeCell ref="A8:C8"/>
    <mergeCell ref="A14:C14"/>
    <mergeCell ref="A6:C6"/>
    <mergeCell ref="A27:C27"/>
    <mergeCell ref="A12:C12"/>
    <mergeCell ref="A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showGridLines="0" workbookViewId="0">
      <selection activeCell="A1" sqref="A1"/>
    </sheetView>
  </sheetViews>
  <sheetFormatPr baseColWidth="8" defaultRowHeight="15"/>
  <cols>
    <col width="46" customWidth="1" min="1" max="1"/>
    <col width="16" customWidth="1" min="2" max="2"/>
    <col width="16" customWidth="1" min="3" max="3"/>
    <col width="62" customWidth="1" min="4" max="4"/>
  </cols>
  <sheetData>
    <row r="1">
      <c r="A1" s="1" t="inlineStr">
        <is>
          <t>Overview, slide 67</t>
        </is>
      </c>
    </row>
    <row r="2" ht="26" customHeight="1">
      <c r="A2" s="2" t="inlineStr">
        <is>
          <t>The shape the client screenshotted, filled with the totals they themselves printed. Retrieval counts material removed from the holdings, as processed from eServe, rather than requests raised. That is the client's own third note on s67.</t>
        </is>
      </c>
    </row>
    <row r="4">
      <c r="A4" s="4" t="inlineStr">
        <is>
          <t>The four tiles</t>
        </is>
      </c>
      <c r="B4" s="5" t="n"/>
      <c r="C4" s="5" t="n"/>
      <c r="D4" s="5" t="n"/>
    </row>
    <row r="5" ht="42" customHeight="1">
      <c r="A5" s="6" t="inlineStr">
        <is>
          <t>Tile</t>
        </is>
      </c>
      <c r="B5" s="6" t="inlineStr">
        <is>
          <t>Value</t>
        </is>
      </c>
      <c r="C5" s="6" t="inlineStr"/>
      <c r="D5" s="6" t="inlineStr">
        <is>
          <t>Caption on the dashboard</t>
        </is>
      </c>
    </row>
    <row r="6">
      <c r="A6" s="7" t="inlineStr">
        <is>
          <t>Total storage and retrieval requests</t>
        </is>
      </c>
      <c r="B6" s="8" t="n">
        <v>259</v>
      </c>
      <c r="C6" s="7" t="inlineStr"/>
      <c r="D6" s="7" t="inlineStr">
        <is>
          <t>Requests raised across both activities</t>
        </is>
      </c>
    </row>
    <row r="7">
      <c r="A7" s="7" t="inlineStr">
        <is>
          <t>Total storage activities</t>
        </is>
      </c>
      <c r="B7" s="8" t="n">
        <v>7305</v>
      </c>
      <c r="C7" s="7" t="inlineStr"/>
      <c r="D7" s="7" t="inlineStr">
        <is>
          <t>Boxes and folders taken into the holdings</t>
        </is>
      </c>
    </row>
    <row r="8">
      <c r="A8" s="7" t="inlineStr">
        <is>
          <t>Total staff supported</t>
        </is>
      </c>
      <c r="B8" s="8" t="n">
        <v>283</v>
      </c>
      <c r="C8" s="7" t="inlineStr"/>
      <c r="D8" s="7" t="inlineStr">
        <is>
          <t>People served across departments and RMs</t>
        </is>
      </c>
    </row>
    <row r="9">
      <c r="A9" s="7" t="inlineStr">
        <is>
          <t>Total retrieval activities</t>
        </is>
      </c>
      <c r="B9" s="8" t="n">
        <v>541</v>
      </c>
      <c r="C9" s="7" t="inlineStr"/>
      <c r="D9" s="7" t="inlineStr">
        <is>
          <t>Material removed from the holdings</t>
        </is>
      </c>
    </row>
    <row r="11">
      <c r="A11" s="4" t="inlineStr">
        <is>
          <t>Storage activities donut</t>
        </is>
      </c>
      <c r="B11" s="5" t="n"/>
      <c r="C11" s="5" t="n"/>
      <c r="D11" s="5" t="n"/>
    </row>
    <row r="12" ht="42" customHeight="1">
      <c r="A12" s="6" t="inlineStr">
        <is>
          <t>Slice</t>
        </is>
      </c>
      <c r="B12" s="6" t="inlineStr">
        <is>
          <t>Value</t>
        </is>
      </c>
      <c r="C12" s="6" t="inlineStr">
        <is>
          <t>Share</t>
        </is>
      </c>
      <c r="D12" s="6" t="inlineStr">
        <is>
          <t>Note</t>
        </is>
      </c>
    </row>
    <row r="13">
      <c r="A13" s="7" t="inlineStr">
        <is>
          <t>Boxes stored</t>
        </is>
      </c>
      <c r="B13" s="8" t="n">
        <v>6697</v>
      </c>
      <c r="C13" s="9" t="n">
        <v>0.9167999999999999</v>
      </c>
      <c r="D13" s="7" t="inlineStr">
        <is>
          <t>Published by the client on slide 67.</t>
        </is>
      </c>
    </row>
    <row r="14">
      <c r="A14" s="7" t="inlineStr">
        <is>
          <t>Folders stored</t>
        </is>
      </c>
      <c r="B14" s="8" t="n">
        <v>608</v>
      </c>
      <c r="C14" s="9" t="n">
        <v>0.0832</v>
      </c>
      <c r="D14" s="7" t="inlineStr">
        <is>
          <t>Published by the client on slide 67.</t>
        </is>
      </c>
    </row>
    <row r="15">
      <c r="A15" s="10" t="inlineStr">
        <is>
          <t>Total activities</t>
        </is>
      </c>
      <c r="B15" s="11" t="n">
        <v>7305</v>
      </c>
      <c r="C15" s="12" t="n">
        <v>1</v>
      </c>
      <c r="D15" s="10" t="inlineStr"/>
    </row>
    <row r="17">
      <c r="A17" s="4" t="inlineStr">
        <is>
          <t>Retrieval activities donut</t>
        </is>
      </c>
      <c r="B17" s="5" t="n"/>
      <c r="C17" s="5" t="n"/>
      <c r="D17" s="5" t="n"/>
    </row>
    <row r="18" ht="42" customHeight="1">
      <c r="A18" s="6" t="inlineStr">
        <is>
          <t>Slice</t>
        </is>
      </c>
      <c r="B18" s="6" t="inlineStr">
        <is>
          <t>Value</t>
        </is>
      </c>
      <c r="C18" s="6" t="inlineStr">
        <is>
          <t>Share</t>
        </is>
      </c>
      <c r="D18" s="6" t="inlineStr">
        <is>
          <t>Note</t>
        </is>
      </c>
    </row>
    <row r="19">
      <c r="A19" s="7" t="inlineStr">
        <is>
          <t>Archived material retrieved</t>
        </is>
      </c>
      <c r="B19" s="8" t="n">
        <v>492</v>
      </c>
      <c r="C19" s="9" t="n">
        <v>0.9094</v>
      </c>
      <c r="D19" s="7" t="inlineStr">
        <is>
          <t>Published by the client on slide 67.</t>
        </is>
      </c>
    </row>
    <row r="20">
      <c r="A20" s="7" t="inlineStr">
        <is>
          <t>Records material retrieved</t>
        </is>
      </c>
      <c r="B20" s="8" t="n">
        <v>49</v>
      </c>
      <c r="C20" s="9" t="n">
        <v>0.0906</v>
      </c>
      <c r="D20" s="7" t="inlineStr">
        <is>
          <t>Published by the client on slide 67.</t>
        </is>
      </c>
    </row>
    <row r="21">
      <c r="A21" s="10" t="inlineStr">
        <is>
          <t>Total activities</t>
        </is>
      </c>
      <c r="B21" s="11" t="n">
        <v>541</v>
      </c>
      <c r="C21" s="12" t="n">
        <v>1</v>
      </c>
      <c r="D21" s="10" t="inlineStr"/>
    </row>
    <row r="23">
      <c r="A23" s="4" t="inlineStr">
        <is>
          <t>Storage and retrieval requests, by month. Illustrative. A distribution of the client's own published total, not a measurement.</t>
        </is>
      </c>
      <c r="B23" s="5" t="n"/>
      <c r="C23" s="5" t="n"/>
      <c r="D23" s="5" t="n"/>
    </row>
    <row r="24" ht="42" customHeight="1">
      <c r="A24" s="6" t="inlineStr">
        <is>
          <t>Month</t>
        </is>
      </c>
      <c r="B24" s="6" t="inlineStr">
        <is>
          <t>Storage requests</t>
        </is>
      </c>
      <c r="C24" s="6" t="inlineStr">
        <is>
          <t>Retrieval requests</t>
        </is>
      </c>
      <c r="D24" s="6" t="inlineStr">
        <is>
          <t>Total requests raised</t>
        </is>
      </c>
    </row>
    <row r="25">
      <c r="A25" s="7" t="inlineStr">
        <is>
          <t>Jan</t>
        </is>
      </c>
      <c r="B25" s="8" t="n">
        <v>7</v>
      </c>
      <c r="C25" s="8" t="n">
        <v>11</v>
      </c>
      <c r="D25" s="8" t="n">
        <v>18</v>
      </c>
    </row>
    <row r="26">
      <c r="A26" s="7" t="inlineStr">
        <is>
          <t>Feb</t>
        </is>
      </c>
      <c r="B26" s="8" t="n">
        <v>18</v>
      </c>
      <c r="C26" s="8" t="n">
        <v>4</v>
      </c>
      <c r="D26" s="8" t="n">
        <v>22</v>
      </c>
    </row>
    <row r="27">
      <c r="A27" s="7" t="inlineStr">
        <is>
          <t>Mar</t>
        </is>
      </c>
      <c r="B27" s="8" t="n">
        <v>16</v>
      </c>
      <c r="C27" s="8" t="n">
        <v>12</v>
      </c>
      <c r="D27" s="8" t="n">
        <v>28</v>
      </c>
    </row>
    <row r="28">
      <c r="A28" s="7" t="inlineStr">
        <is>
          <t>Apr</t>
        </is>
      </c>
      <c r="B28" s="8" t="n">
        <v>10</v>
      </c>
      <c r="C28" s="8" t="n">
        <v>9</v>
      </c>
      <c r="D28" s="8" t="n">
        <v>19</v>
      </c>
    </row>
    <row r="29">
      <c r="A29" s="7" t="inlineStr">
        <is>
          <t>May</t>
        </is>
      </c>
      <c r="B29" s="8" t="n">
        <v>14</v>
      </c>
      <c r="C29" s="8" t="n">
        <v>8</v>
      </c>
      <c r="D29" s="8" t="n">
        <v>22</v>
      </c>
    </row>
    <row r="30">
      <c r="A30" s="7" t="inlineStr">
        <is>
          <t>Jun</t>
        </is>
      </c>
      <c r="B30" s="8" t="n">
        <v>12</v>
      </c>
      <c r="C30" s="8" t="n">
        <v>12</v>
      </c>
      <c r="D30" s="8" t="n">
        <v>24</v>
      </c>
    </row>
    <row r="31">
      <c r="A31" s="7" t="inlineStr">
        <is>
          <t>Jul</t>
        </is>
      </c>
      <c r="B31" s="8" t="n">
        <v>16</v>
      </c>
      <c r="C31" s="8" t="n">
        <v>10</v>
      </c>
      <c r="D31" s="8" t="n">
        <v>26</v>
      </c>
    </row>
    <row r="32">
      <c r="A32" s="7" t="inlineStr">
        <is>
          <t>Aug</t>
        </is>
      </c>
      <c r="B32" s="8" t="n">
        <v>12</v>
      </c>
      <c r="C32" s="8" t="n">
        <v>12</v>
      </c>
      <c r="D32" s="8" t="n">
        <v>24</v>
      </c>
    </row>
    <row r="33">
      <c r="A33" s="7" t="inlineStr">
        <is>
          <t>Sep</t>
        </is>
      </c>
      <c r="B33" s="8" t="n">
        <v>9</v>
      </c>
      <c r="C33" s="8" t="n">
        <v>9</v>
      </c>
      <c r="D33" s="8" t="n">
        <v>18</v>
      </c>
    </row>
    <row r="34">
      <c r="A34" s="7" t="inlineStr">
        <is>
          <t>Oct</t>
        </is>
      </c>
      <c r="B34" s="8" t="n">
        <v>8</v>
      </c>
      <c r="C34" s="8" t="n">
        <v>4</v>
      </c>
      <c r="D34" s="8" t="n">
        <v>12</v>
      </c>
    </row>
    <row r="35">
      <c r="A35" s="7" t="inlineStr">
        <is>
          <t>Nov</t>
        </is>
      </c>
      <c r="B35" s="8" t="n">
        <v>17</v>
      </c>
      <c r="C35" s="8" t="n">
        <v>6</v>
      </c>
      <c r="D35" s="8" t="n">
        <v>23</v>
      </c>
    </row>
    <row r="36">
      <c r="A36" s="7" t="inlineStr">
        <is>
          <t>Dec</t>
        </is>
      </c>
      <c r="B36" s="8" t="n">
        <v>12</v>
      </c>
      <c r="C36" s="8" t="n">
        <v>11</v>
      </c>
      <c r="D36" s="8" t="n">
        <v>23</v>
      </c>
    </row>
    <row r="37">
      <c r="A37" s="10" t="inlineStr">
        <is>
          <t>Total</t>
        </is>
      </c>
      <c r="B37" s="11" t="n">
        <v>151</v>
      </c>
      <c r="C37" s="11" t="n">
        <v>108</v>
      </c>
      <c r="D37" s="11" t="n">
        <v>259</v>
      </c>
    </row>
    <row r="39">
      <c r="A39" s="4" t="inlineStr">
        <is>
          <t>Storage and retrieval activities, by month. Illustrative. A distribution of the client's own published total, not a measurement.</t>
        </is>
      </c>
      <c r="B39" s="5" t="n"/>
      <c r="C39" s="5" t="n"/>
      <c r="D39" s="5" t="n"/>
    </row>
    <row r="40" ht="42" customHeight="1">
      <c r="A40" s="6" t="inlineStr">
        <is>
          <t>Month</t>
        </is>
      </c>
      <c r="B40" s="6" t="inlineStr">
        <is>
          <t>Boxes stored</t>
        </is>
      </c>
      <c r="C40" s="6" t="inlineStr">
        <is>
          <t>Folders stored</t>
        </is>
      </c>
      <c r="D40" s="6" t="inlineStr">
        <is>
          <t>Storage activities</t>
        </is>
      </c>
    </row>
    <row r="41">
      <c r="A41" s="7" t="inlineStr">
        <is>
          <t>Jan</t>
        </is>
      </c>
      <c r="B41" s="8" t="n">
        <v>292</v>
      </c>
      <c r="C41" s="8" t="n">
        <v>29</v>
      </c>
      <c r="D41" s="8" t="n">
        <v>321</v>
      </c>
    </row>
    <row r="42">
      <c r="A42" s="7" t="inlineStr">
        <is>
          <t>Feb</t>
        </is>
      </c>
      <c r="B42" s="8" t="n">
        <v>456</v>
      </c>
      <c r="C42" s="8" t="n">
        <v>71</v>
      </c>
      <c r="D42" s="8" t="n">
        <v>527</v>
      </c>
    </row>
    <row r="43">
      <c r="A43" s="7" t="inlineStr">
        <is>
          <t>Mar</t>
        </is>
      </c>
      <c r="B43" s="8" t="n">
        <v>360</v>
      </c>
      <c r="C43" s="8" t="n">
        <v>52</v>
      </c>
      <c r="D43" s="8" t="n">
        <v>412</v>
      </c>
    </row>
    <row r="44">
      <c r="A44" s="7" t="inlineStr">
        <is>
          <t>Apr</t>
        </is>
      </c>
      <c r="B44" s="8" t="n">
        <v>651</v>
      </c>
      <c r="C44" s="8" t="n">
        <v>67</v>
      </c>
      <c r="D44" s="8" t="n">
        <v>718</v>
      </c>
    </row>
    <row r="45">
      <c r="A45" s="7" t="inlineStr">
        <is>
          <t>May</t>
        </is>
      </c>
      <c r="B45" s="8" t="n">
        <v>822</v>
      </c>
      <c r="C45" s="8" t="n">
        <v>65</v>
      </c>
      <c r="D45" s="8" t="n">
        <v>887</v>
      </c>
    </row>
    <row r="46">
      <c r="A46" s="7" t="inlineStr">
        <is>
          <t>Jun</t>
        </is>
      </c>
      <c r="B46" s="8" t="n">
        <v>783</v>
      </c>
      <c r="C46" s="8" t="n">
        <v>31</v>
      </c>
      <c r="D46" s="8" t="n">
        <v>814</v>
      </c>
    </row>
    <row r="47">
      <c r="A47" s="7" t="inlineStr">
        <is>
          <t>Jul</t>
        </is>
      </c>
      <c r="B47" s="8" t="n">
        <v>799</v>
      </c>
      <c r="C47" s="8" t="n">
        <v>46</v>
      </c>
      <c r="D47" s="8" t="n">
        <v>845</v>
      </c>
    </row>
    <row r="48">
      <c r="A48" s="7" t="inlineStr">
        <is>
          <t>Aug</t>
        </is>
      </c>
      <c r="B48" s="8" t="n">
        <v>443</v>
      </c>
      <c r="C48" s="8" t="n">
        <v>49</v>
      </c>
      <c r="D48" s="8" t="n">
        <v>492</v>
      </c>
    </row>
    <row r="49">
      <c r="A49" s="7" t="inlineStr">
        <is>
          <t>Sep</t>
        </is>
      </c>
      <c r="B49" s="8" t="n">
        <v>541</v>
      </c>
      <c r="C49" s="8" t="n">
        <v>47</v>
      </c>
      <c r="D49" s="8" t="n">
        <v>588</v>
      </c>
    </row>
    <row r="50">
      <c r="A50" s="7" t="inlineStr">
        <is>
          <t>Oct</t>
        </is>
      </c>
      <c r="B50" s="8" t="n">
        <v>686</v>
      </c>
      <c r="C50" s="8" t="n">
        <v>38</v>
      </c>
      <c r="D50" s="8" t="n">
        <v>724</v>
      </c>
    </row>
    <row r="51">
      <c r="A51" s="7" t="inlineStr">
        <is>
          <t>Nov</t>
        </is>
      </c>
      <c r="B51" s="8" t="n">
        <v>483</v>
      </c>
      <c r="C51" s="8" t="n">
        <v>58</v>
      </c>
      <c r="D51" s="8" t="n">
        <v>541</v>
      </c>
    </row>
    <row r="52">
      <c r="A52" s="7" t="inlineStr">
        <is>
          <t>Dec</t>
        </is>
      </c>
      <c r="B52" s="8" t="n">
        <v>381</v>
      </c>
      <c r="C52" s="8" t="n">
        <v>55</v>
      </c>
      <c r="D52" s="8" t="n">
        <v>436</v>
      </c>
    </row>
    <row r="53">
      <c r="A53" s="10" t="inlineStr">
        <is>
          <t>Total</t>
        </is>
      </c>
      <c r="B53" s="11" t="n">
        <v>6697</v>
      </c>
      <c r="C53" s="11" t="n">
        <v>608</v>
      </c>
      <c r="D53" s="11" t="n">
        <v>7305</v>
      </c>
    </row>
  </sheetData>
  <mergeCells count="7">
    <mergeCell ref="A1:D1"/>
    <mergeCell ref="A17:D17"/>
    <mergeCell ref="A23:D23"/>
    <mergeCell ref="A4:D4"/>
    <mergeCell ref="A39:D39"/>
    <mergeCell ref="A2:D2"/>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showGridLines="0" workbookViewId="0">
      <selection activeCell="A1" sqref="A1"/>
    </sheetView>
  </sheetViews>
  <sheetFormatPr baseColWidth="8" defaultRowHeight="15"/>
  <cols>
    <col width="22" customWidth="1" min="1" max="1"/>
    <col width="14" customWidth="1" min="2" max="2"/>
    <col width="20" customWidth="1" min="3" max="3"/>
    <col width="16" customWidth="1" min="4" max="4"/>
    <col width="18" customWidth="1" min="5" max="5"/>
    <col width="18" customWidth="1" min="6" max="6"/>
    <col width="28" customWidth="1" min="7" max="7"/>
  </cols>
  <sheetData>
    <row r="1">
      <c r="A1" s="1" t="inlineStr">
        <is>
          <t>Storage, slide 68</t>
        </is>
      </c>
    </row>
    <row r="2" ht="26" customHeight="1">
      <c r="A2" s="2" t="inlineStr">
        <is>
          <t>The client's own table and the client's own column names, including Remarks. Location columns total the published figures exactly. Illustrative. A distribution of the client's own published total, not a measurement.</t>
        </is>
      </c>
    </row>
    <row r="4" ht="42" customHeight="1">
      <c r="A4" s="6" t="inlineStr">
        <is>
          <t>Location</t>
        </is>
      </c>
      <c r="B4" s="6" t="inlineStr">
        <is>
          <t>No. of requests</t>
        </is>
      </c>
      <c r="C4" s="6" t="inlineStr">
        <is>
          <t>Total number of requestors (departments)</t>
        </is>
      </c>
      <c r="D4" s="6" t="inlineStr">
        <is>
          <t>Total number of requestors (RMs)</t>
        </is>
      </c>
      <c r="E4" s="6" t="inlineStr">
        <is>
          <t>Total number of boxes stored</t>
        </is>
      </c>
      <c r="F4" s="6" t="inlineStr">
        <is>
          <t>Total number of folders stored</t>
        </is>
      </c>
      <c r="G4" s="6" t="inlineStr">
        <is>
          <t>Remarks</t>
        </is>
      </c>
    </row>
    <row r="5">
      <c r="A5" s="7" t="inlineStr">
        <is>
          <t>Archives Room</t>
        </is>
      </c>
      <c r="B5" s="8" t="n">
        <v>61</v>
      </c>
      <c r="C5" s="8" t="n">
        <v>64</v>
      </c>
      <c r="D5" s="8" t="n">
        <v>22</v>
      </c>
      <c r="E5" s="8" t="n">
        <v>1940</v>
      </c>
      <c r="F5" s="8" t="n">
        <v>213</v>
      </c>
      <c r="G5" s="7" t="inlineStr">
        <is>
          <t>Active, regular access</t>
        </is>
      </c>
    </row>
    <row r="6">
      <c r="A6" s="7" t="inlineStr">
        <is>
          <t>Records Center</t>
        </is>
      </c>
      <c r="B6" s="8" t="n">
        <v>38</v>
      </c>
      <c r="C6" s="8" t="n">
        <v>65</v>
      </c>
      <c r="D6" s="8" t="n">
        <v>29</v>
      </c>
      <c r="E6" s="8" t="n">
        <v>2670</v>
      </c>
      <c r="F6" s="8" t="n">
        <v>168</v>
      </c>
      <c r="G6" s="7" t="inlineStr">
        <is>
          <t>High volume transfers</t>
        </is>
      </c>
    </row>
    <row r="7">
      <c r="A7" s="7" t="inlineStr">
        <is>
          <t>Offsite Storage</t>
        </is>
      </c>
      <c r="B7" s="8" t="n">
        <v>52</v>
      </c>
      <c r="C7" s="8" t="n">
        <v>65</v>
      </c>
      <c r="D7" s="8" t="n">
        <v>38</v>
      </c>
      <c r="E7" s="8" t="n">
        <v>2087</v>
      </c>
      <c r="F7" s="8" t="n">
        <v>227</v>
      </c>
      <c r="G7" s="7" t="inlineStr">
        <is>
          <t>Specialised holdings</t>
        </is>
      </c>
    </row>
    <row r="8">
      <c r="A8" s="10" t="inlineStr">
        <is>
          <t>Total</t>
        </is>
      </c>
      <c r="B8" s="13">
        <f>SUM(B5:B7)</f>
        <v/>
      </c>
      <c r="C8" s="13">
        <f>SUM(C5:C7)</f>
        <v/>
      </c>
      <c r="D8" s="13">
        <f>SUM(D5:D7)</f>
        <v/>
      </c>
      <c r="E8" s="13">
        <f>SUM(E5:E7)</f>
        <v/>
      </c>
      <c r="F8" s="13">
        <f>SUM(F5:F7)</f>
        <v/>
      </c>
      <c r="G8" s="10" t="inlineStr"/>
    </row>
    <row r="10">
      <c r="A10" s="14" t="inlineStr">
        <is>
          <t>Remarks is the client's own column. It is a note somebody maintains, not a measurement, so it carries text rather than a figure.</t>
        </is>
      </c>
    </row>
  </sheetData>
  <mergeCells count="3">
    <mergeCell ref="A2:G2"/>
    <mergeCell ref="A1:G1"/>
    <mergeCell ref="A10:G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showGridLines="0" workbookViewId="0">
      <selection activeCell="A1" sqref="A1"/>
    </sheetView>
  </sheetViews>
  <sheetFormatPr baseColWidth="8" defaultRowHeight="15"/>
  <cols>
    <col width="22" customWidth="1" min="1" max="1"/>
    <col width="14" customWidth="1" min="2" max="2"/>
    <col width="22" customWidth="1" min="3" max="3"/>
    <col width="18" customWidth="1" min="4" max="4"/>
    <col width="18" customWidth="1" min="5" max="5"/>
    <col width="10" customWidth="1" min="6" max="6"/>
    <col width="16" customWidth="1" min="7" max="7"/>
    <col width="12" customWidth="1" min="8" max="8"/>
    <col width="28" customWidth="1" min="9" max="9"/>
    <col width="12" customWidth="1" min="10" max="10"/>
  </cols>
  <sheetData>
    <row r="1">
      <c r="A1" s="1" t="inlineStr">
        <is>
          <t>Retrieval, slide 69</t>
        </is>
      </c>
    </row>
    <row r="2" ht="26" customHeight="1">
      <c r="A2" s="2" t="inlineStr">
        <is>
          <t>The client's Status column names a vocabulary, Loan / Return to owner / For Disposal, not one value per row. The mix is therefore carried per location and printed as the mix, rather than picking one and implying Archives Room is always a loan. Illustrative. A distribution of the client's own published total, not a measurement.</t>
        </is>
      </c>
    </row>
    <row r="4" ht="42" customHeight="1">
      <c r="A4" s="6" t="inlineStr">
        <is>
          <t>Location</t>
        </is>
      </c>
      <c r="B4" s="6" t="inlineStr">
        <is>
          <t>No. of requests</t>
        </is>
      </c>
      <c r="C4" s="6" t="inlineStr">
        <is>
          <t>Total number of requestors (departments and RMs)</t>
        </is>
      </c>
      <c r="D4" s="6" t="inlineStr">
        <is>
          <t>Total number of boxes retrieved</t>
        </is>
      </c>
      <c r="E4" s="6" t="inlineStr">
        <is>
          <t>Total number of folders retrieved</t>
        </is>
      </c>
      <c r="F4" s="6" t="inlineStr">
        <is>
          <t>Status: Loan</t>
        </is>
      </c>
      <c r="G4" s="6" t="inlineStr">
        <is>
          <t>Status: Return to owner</t>
        </is>
      </c>
      <c r="H4" s="6" t="inlineStr">
        <is>
          <t>Status: For Disposal</t>
        </is>
      </c>
      <c r="I4" s="6" t="inlineStr">
        <is>
          <t>Remarks</t>
        </is>
      </c>
      <c r="J4" s="6" t="inlineStr">
        <is>
          <t>Status, as printed</t>
        </is>
      </c>
    </row>
    <row r="5">
      <c r="A5" s="7" t="inlineStr">
        <is>
          <t>Archives Room</t>
        </is>
      </c>
      <c r="B5" s="8" t="n">
        <v>31</v>
      </c>
      <c r="C5" s="8" t="n">
        <v>76</v>
      </c>
      <c r="D5" s="8" t="n">
        <v>120</v>
      </c>
      <c r="E5" s="8" t="n">
        <v>11</v>
      </c>
      <c r="F5" s="8" t="n">
        <v>12</v>
      </c>
      <c r="G5" s="8" t="n">
        <v>10</v>
      </c>
      <c r="H5" s="8" t="n">
        <v>9</v>
      </c>
      <c r="I5" s="7" t="inlineStr">
        <is>
          <t>Short term use</t>
        </is>
      </c>
      <c r="J5" s="7" t="inlineStr">
        <is>
          <t>Loan 12, Return to owner 10, For Disposal 9</t>
        </is>
      </c>
    </row>
    <row r="6">
      <c r="A6" s="7" t="inlineStr">
        <is>
          <t>Records Center</t>
        </is>
      </c>
      <c r="B6" s="8" t="n">
        <v>39</v>
      </c>
      <c r="C6" s="8" t="n">
        <v>73</v>
      </c>
      <c r="D6" s="8" t="n">
        <v>267</v>
      </c>
      <c r="E6" s="8" t="n">
        <v>9</v>
      </c>
      <c r="F6" s="8" t="n">
        <v>13</v>
      </c>
      <c r="G6" s="8" t="n">
        <v>18</v>
      </c>
      <c r="H6" s="8" t="n">
        <v>8</v>
      </c>
      <c r="I6" s="7" t="inlineStr">
        <is>
          <t>Completed project</t>
        </is>
      </c>
      <c r="J6" s="7" t="inlineStr">
        <is>
          <t>Loan 13, Return to owner 18, For Disposal 8</t>
        </is>
      </c>
    </row>
    <row r="7">
      <c r="A7" s="7" t="inlineStr">
        <is>
          <t>Offsite Storage</t>
        </is>
      </c>
      <c r="B7" s="8" t="n">
        <v>38</v>
      </c>
      <c r="C7" s="8" t="n">
        <v>134</v>
      </c>
      <c r="D7" s="8" t="n">
        <v>109</v>
      </c>
      <c r="E7" s="8" t="n">
        <v>25</v>
      </c>
      <c r="F7" s="8" t="n">
        <v>17</v>
      </c>
      <c r="G7" s="8" t="n">
        <v>9</v>
      </c>
      <c r="H7" s="8" t="n">
        <v>12</v>
      </c>
      <c r="I7" s="7" t="inlineStr">
        <is>
          <t>Approved for disposal</t>
        </is>
      </c>
      <c r="J7" s="7" t="inlineStr">
        <is>
          <t>Loan 17, Return to owner 9, For Disposal 12</t>
        </is>
      </c>
    </row>
    <row r="8">
      <c r="A8" s="10" t="inlineStr">
        <is>
          <t>Total</t>
        </is>
      </c>
      <c r="B8" s="13">
        <f>SUM(B5:B7)</f>
        <v/>
      </c>
      <c r="C8" s="13">
        <f>SUM(C5:C7)</f>
        <v/>
      </c>
      <c r="D8" s="13">
        <f>SUM(D5:D7)</f>
        <v/>
      </c>
      <c r="E8" s="13">
        <f>SUM(E5:E7)</f>
        <v/>
      </c>
      <c r="F8" s="13">
        <f>SUM(F5:F7)</f>
        <v/>
      </c>
      <c r="G8" s="13">
        <f>SUM(G5:G7)</f>
        <v/>
      </c>
      <c r="H8" s="13">
        <f>SUM(H5:H7)</f>
        <v/>
      </c>
      <c r="I8" s="10" t="inlineStr"/>
      <c r="J8" s="10" t="inlineStr"/>
    </row>
    <row r="10">
      <c r="A10" s="14" t="inlineStr">
        <is>
          <t>The three status columns on a location total that location's retrieval requests. The dashboard asserts this at runtime; sheet 7 checks it here.</t>
        </is>
      </c>
    </row>
  </sheetData>
  <mergeCells count="3">
    <mergeCell ref="A1:J1"/>
    <mergeCell ref="A10:J10"/>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30" customWidth="1" min="1" max="1"/>
    <col width="20" customWidth="1" min="2" max="2"/>
    <col width="20" customWidth="1" min="3" max="3"/>
    <col width="8" customWidth="1" min="4" max="4"/>
    <col width="20" customWidth="1" min="5" max="5"/>
  </cols>
  <sheetData>
    <row r="1">
      <c r="A1" s="1" t="inlineStr">
        <is>
          <t>Month and department cuts</t>
        </is>
      </c>
    </row>
    <row r="2" ht="26" customHeight="1">
      <c r="A2" s="2" t="inlineStr">
        <is>
          <t>Slides 68 and 69 both ask for the month on month cut per department. The month vector and the department vector are independent, which is what stops every department showing the same shape across the year. Illustrative. A distribution of the client's own published total, not a measurement.</t>
        </is>
      </c>
    </row>
    <row r="4">
      <c r="A4" s="4" t="inlineStr">
        <is>
          <t>Boxes stored and boxes retrieved, month on month</t>
        </is>
      </c>
      <c r="B4" s="5" t="n"/>
      <c r="C4" s="5" t="n"/>
      <c r="D4" s="5" t="n"/>
      <c r="E4" s="5" t="n"/>
    </row>
    <row r="5" ht="42" customHeight="1">
      <c r="A5" s="6" t="inlineStr">
        <is>
          <t>Month</t>
        </is>
      </c>
      <c r="B5" s="6" t="inlineStr">
        <is>
          <t>New boxes stored</t>
        </is>
      </c>
      <c r="C5" s="6" t="inlineStr">
        <is>
          <t>Boxes retrieved</t>
        </is>
      </c>
      <c r="D5" s="6" t="inlineStr"/>
      <c r="E5" s="6" t="inlineStr">
        <is>
          <t>Folders retrieved</t>
        </is>
      </c>
    </row>
    <row r="6">
      <c r="A6" s="7" t="inlineStr">
        <is>
          <t>Jan</t>
        </is>
      </c>
      <c r="B6" s="8" t="n">
        <v>292</v>
      </c>
      <c r="C6" s="8" t="n">
        <v>26</v>
      </c>
      <c r="D6" s="7" t="inlineStr"/>
      <c r="E6" s="8" t="n">
        <v>4</v>
      </c>
    </row>
    <row r="7">
      <c r="A7" s="7" t="inlineStr">
        <is>
          <t>Feb</t>
        </is>
      </c>
      <c r="B7" s="8" t="n">
        <v>456</v>
      </c>
      <c r="C7" s="8" t="n">
        <v>41</v>
      </c>
      <c r="D7" s="7" t="inlineStr"/>
      <c r="E7" s="8" t="n">
        <v>5</v>
      </c>
    </row>
    <row r="8">
      <c r="A8" s="7" t="inlineStr">
        <is>
          <t>Mar</t>
        </is>
      </c>
      <c r="B8" s="8" t="n">
        <v>360</v>
      </c>
      <c r="C8" s="8" t="n">
        <v>50</v>
      </c>
      <c r="D8" s="7" t="inlineStr"/>
      <c r="E8" s="8" t="n">
        <v>2</v>
      </c>
    </row>
    <row r="9">
      <c r="A9" s="7" t="inlineStr">
        <is>
          <t>Apr</t>
        </is>
      </c>
      <c r="B9" s="8" t="n">
        <v>651</v>
      </c>
      <c r="C9" s="8" t="n">
        <v>49</v>
      </c>
      <c r="D9" s="7" t="inlineStr"/>
      <c r="E9" s="8" t="n">
        <v>5</v>
      </c>
    </row>
    <row r="10">
      <c r="A10" s="7" t="inlineStr">
        <is>
          <t>May</t>
        </is>
      </c>
      <c r="B10" s="8" t="n">
        <v>822</v>
      </c>
      <c r="C10" s="8" t="n">
        <v>36</v>
      </c>
      <c r="D10" s="7" t="inlineStr"/>
      <c r="E10" s="8" t="n">
        <v>5</v>
      </c>
    </row>
    <row r="11">
      <c r="A11" s="7" t="inlineStr">
        <is>
          <t>Jun</t>
        </is>
      </c>
      <c r="B11" s="8" t="n">
        <v>783</v>
      </c>
      <c r="C11" s="8" t="n">
        <v>46</v>
      </c>
      <c r="D11" s="7" t="inlineStr"/>
      <c r="E11" s="8" t="n">
        <v>4</v>
      </c>
    </row>
    <row r="12">
      <c r="A12" s="7" t="inlineStr">
        <is>
          <t>Jul</t>
        </is>
      </c>
      <c r="B12" s="8" t="n">
        <v>799</v>
      </c>
      <c r="C12" s="8" t="n">
        <v>43</v>
      </c>
      <c r="D12" s="7" t="inlineStr"/>
      <c r="E12" s="8" t="n">
        <v>3</v>
      </c>
    </row>
    <row r="13">
      <c r="A13" s="7" t="inlineStr">
        <is>
          <t>Aug</t>
        </is>
      </c>
      <c r="B13" s="8" t="n">
        <v>443</v>
      </c>
      <c r="C13" s="8" t="n">
        <v>42</v>
      </c>
      <c r="D13" s="7" t="inlineStr"/>
      <c r="E13" s="8" t="n">
        <v>2</v>
      </c>
    </row>
    <row r="14">
      <c r="A14" s="7" t="inlineStr">
        <is>
          <t>Sep</t>
        </is>
      </c>
      <c r="B14" s="8" t="n">
        <v>541</v>
      </c>
      <c r="C14" s="8" t="n">
        <v>39</v>
      </c>
      <c r="D14" s="7" t="inlineStr"/>
      <c r="E14" s="8" t="n">
        <v>5</v>
      </c>
    </row>
    <row r="15">
      <c r="A15" s="7" t="inlineStr">
        <is>
          <t>Oct</t>
        </is>
      </c>
      <c r="B15" s="8" t="n">
        <v>686</v>
      </c>
      <c r="C15" s="8" t="n">
        <v>52</v>
      </c>
      <c r="D15" s="7" t="inlineStr"/>
      <c r="E15" s="8" t="n">
        <v>5</v>
      </c>
    </row>
    <row r="16">
      <c r="A16" s="7" t="inlineStr">
        <is>
          <t>Nov</t>
        </is>
      </c>
      <c r="B16" s="8" t="n">
        <v>483</v>
      </c>
      <c r="C16" s="8" t="n">
        <v>45</v>
      </c>
      <c r="D16" s="7" t="inlineStr"/>
      <c r="E16" s="8" t="n">
        <v>2</v>
      </c>
    </row>
    <row r="17">
      <c r="A17" s="7" t="inlineStr">
        <is>
          <t>Dec</t>
        </is>
      </c>
      <c r="B17" s="8" t="n">
        <v>381</v>
      </c>
      <c r="C17" s="8" t="n">
        <v>27</v>
      </c>
      <c r="D17" s="7" t="inlineStr"/>
      <c r="E17" s="8" t="n">
        <v>3</v>
      </c>
    </row>
    <row r="18">
      <c r="A18" s="10" t="inlineStr">
        <is>
          <t>Total</t>
        </is>
      </c>
      <c r="B18" s="11" t="n">
        <v>6697</v>
      </c>
      <c r="C18" s="11" t="n">
        <v>496</v>
      </c>
      <c r="D18" s="10" t="inlineStr"/>
      <c r="E18" s="11" t="n">
        <v>45</v>
      </c>
    </row>
    <row r="20">
      <c r="A20" s="4" t="inlineStr">
        <is>
          <t>Boxes stored and boxes retrieved, by department, office or RM</t>
        </is>
      </c>
      <c r="B20" s="5" t="n"/>
      <c r="C20" s="5" t="n"/>
      <c r="D20" s="5" t="n"/>
      <c r="E20" s="5" t="n"/>
    </row>
    <row r="21" ht="42" customHeight="1">
      <c r="A21" s="6" t="inlineStr">
        <is>
          <t>Department, office or RM</t>
        </is>
      </c>
      <c r="B21" s="6" t="inlineStr">
        <is>
          <t>New boxes stored</t>
        </is>
      </c>
      <c r="C21" s="6" t="inlineStr">
        <is>
          <t>Boxes retrieved</t>
        </is>
      </c>
      <c r="D21" s="6" t="inlineStr"/>
      <c r="E21" s="6" t="inlineStr">
        <is>
          <t>Code</t>
        </is>
      </c>
    </row>
    <row r="22">
      <c r="A22" s="7" t="inlineStr">
        <is>
          <t>Information Technology (ITD)</t>
        </is>
      </c>
      <c r="B22" s="8" t="n">
        <v>714</v>
      </c>
      <c r="C22" s="8" t="n">
        <v>55</v>
      </c>
      <c r="D22" s="7" t="inlineStr"/>
      <c r="E22" s="7" t="inlineStr">
        <is>
          <t>ITD</t>
        </is>
      </c>
    </row>
    <row r="23">
      <c r="A23" s="7" t="inlineStr">
        <is>
          <t>South Asia Regional (SARD)</t>
        </is>
      </c>
      <c r="B23" s="8" t="n">
        <v>711</v>
      </c>
      <c r="C23" s="8" t="n">
        <v>42</v>
      </c>
      <c r="D23" s="7" t="inlineStr"/>
      <c r="E23" s="7" t="inlineStr">
        <is>
          <t>SARD</t>
        </is>
      </c>
    </row>
    <row r="24">
      <c r="A24" s="7" t="inlineStr">
        <is>
          <t>Procurement and Admin (PARD)</t>
        </is>
      </c>
      <c r="B24" s="8" t="n">
        <v>697</v>
      </c>
      <c r="C24" s="8" t="n">
        <v>49</v>
      </c>
      <c r="D24" s="7" t="inlineStr"/>
      <c r="E24" s="7" t="inlineStr">
        <is>
          <t>PARD</t>
        </is>
      </c>
    </row>
    <row r="25">
      <c r="A25" s="7" t="inlineStr">
        <is>
          <t>Finance (FIN)</t>
        </is>
      </c>
      <c r="B25" s="8" t="n">
        <v>696</v>
      </c>
      <c r="C25" s="8" t="n">
        <v>49</v>
      </c>
      <c r="D25" s="7" t="inlineStr"/>
      <c r="E25" s="7" t="inlineStr">
        <is>
          <t>FIN</t>
        </is>
      </c>
    </row>
    <row r="26">
      <c r="A26" s="7" t="inlineStr">
        <is>
          <t>Sovereign Operations (OSFG)</t>
        </is>
      </c>
      <c r="B26" s="8" t="n">
        <v>573</v>
      </c>
      <c r="C26" s="8" t="n">
        <v>56</v>
      </c>
      <c r="D26" s="7" t="inlineStr"/>
      <c r="E26" s="7" t="inlineStr">
        <is>
          <t>OSFG</t>
        </is>
      </c>
    </row>
    <row r="27">
      <c r="A27" s="7" t="inlineStr">
        <is>
          <t>Human Resources (HRD)</t>
        </is>
      </c>
      <c r="B27" s="8" t="n">
        <v>465</v>
      </c>
      <c r="C27" s="8" t="n">
        <v>38</v>
      </c>
      <c r="D27" s="7" t="inlineStr"/>
      <c r="E27" s="7" t="inlineStr">
        <is>
          <t>HRD</t>
        </is>
      </c>
    </row>
    <row r="28">
      <c r="A28" s="7" t="inlineStr">
        <is>
          <t>Southeast Asia (SERD)</t>
        </is>
      </c>
      <c r="B28" s="8" t="n">
        <v>437</v>
      </c>
      <c r="C28" s="8" t="n">
        <v>30</v>
      </c>
      <c r="D28" s="7" t="inlineStr"/>
      <c r="E28" s="7" t="inlineStr">
        <is>
          <t>SERD</t>
        </is>
      </c>
    </row>
    <row r="29">
      <c r="A29" s="7" t="inlineStr">
        <is>
          <t>Central and West Asia (CWRD)</t>
        </is>
      </c>
      <c r="B29" s="8" t="n">
        <v>419</v>
      </c>
      <c r="C29" s="8" t="n">
        <v>29</v>
      </c>
      <c r="D29" s="7" t="inlineStr"/>
      <c r="E29" s="7" t="inlineStr">
        <is>
          <t>CWRD</t>
        </is>
      </c>
    </row>
    <row r="30">
      <c r="A30" s="7" t="inlineStr">
        <is>
          <t>East Asia Regional (EARD)</t>
        </is>
      </c>
      <c r="B30" s="8" t="n">
        <v>345</v>
      </c>
      <c r="C30" s="8" t="n">
        <v>28</v>
      </c>
      <c r="D30" s="7" t="inlineStr"/>
      <c r="E30" s="7" t="inlineStr">
        <is>
          <t>EARD</t>
        </is>
      </c>
    </row>
    <row r="31">
      <c r="A31" s="7" t="inlineStr">
        <is>
          <t>Private Sector Operations (PSOD)</t>
        </is>
      </c>
      <c r="B31" s="8" t="n">
        <v>304</v>
      </c>
      <c r="C31" s="8" t="n">
        <v>20</v>
      </c>
      <c r="D31" s="7" t="inlineStr"/>
      <c r="E31" s="7" t="inlineStr">
        <is>
          <t>PSOD</t>
        </is>
      </c>
    </row>
    <row r="32">
      <c r="A32" s="7" t="inlineStr">
        <is>
          <t>General Counsel (OGC)</t>
        </is>
      </c>
      <c r="B32" s="8" t="n">
        <v>296</v>
      </c>
      <c r="C32" s="8" t="n">
        <v>29</v>
      </c>
      <c r="D32" s="7" t="inlineStr"/>
      <c r="E32" s="7" t="inlineStr">
        <is>
          <t>OGC</t>
        </is>
      </c>
    </row>
    <row r="33">
      <c r="A33" s="7" t="inlineStr">
        <is>
          <t>Strategy and Policy (SPD)</t>
        </is>
      </c>
      <c r="B33" s="8" t="n">
        <v>242</v>
      </c>
      <c r="C33" s="8" t="n">
        <v>14</v>
      </c>
      <c r="D33" s="7" t="inlineStr"/>
      <c r="E33" s="7" t="inlineStr">
        <is>
          <t>SPD</t>
        </is>
      </c>
    </row>
    <row r="34">
      <c r="A34" s="7" t="inlineStr">
        <is>
          <t>Sustainable Dev and Climate (SDCC)</t>
        </is>
      </c>
      <c r="B34" s="8" t="n">
        <v>240</v>
      </c>
      <c r="C34" s="8" t="n">
        <v>16</v>
      </c>
      <c r="D34" s="7" t="inlineStr"/>
      <c r="E34" s="7" t="inlineStr">
        <is>
          <t>SDCC</t>
        </is>
      </c>
    </row>
    <row r="35">
      <c r="A35" s="7" t="inlineStr">
        <is>
          <t>Budget and Mgmt Services (BRM)</t>
        </is>
      </c>
      <c r="B35" s="8" t="n">
        <v>229</v>
      </c>
      <c r="C35" s="8" t="n">
        <v>16</v>
      </c>
      <c r="D35" s="7" t="inlineStr"/>
      <c r="E35" s="7" t="inlineStr">
        <is>
          <t>BRM</t>
        </is>
      </c>
    </row>
    <row r="36">
      <c r="A36" s="7" t="inlineStr">
        <is>
          <t>Economic Research (ERCD)</t>
        </is>
      </c>
      <c r="B36" s="8" t="n">
        <v>167</v>
      </c>
      <c r="C36" s="8" t="n">
        <v>10</v>
      </c>
      <c r="D36" s="7" t="inlineStr"/>
      <c r="E36" s="7" t="inlineStr">
        <is>
          <t>ERCD</t>
        </is>
      </c>
    </row>
    <row r="37">
      <c r="A37" s="7" t="inlineStr">
        <is>
          <t>Administrative Services (OAS)</t>
        </is>
      </c>
      <c r="B37" s="8" t="n">
        <v>162</v>
      </c>
      <c r="C37" s="8" t="n">
        <v>15</v>
      </c>
      <c r="D37" s="7" t="inlineStr"/>
      <c r="E37" s="7" t="inlineStr">
        <is>
          <t>OAS</t>
        </is>
      </c>
    </row>
    <row r="38">
      <c r="A38" s="10" t="inlineStr">
        <is>
          <t>Total</t>
        </is>
      </c>
      <c r="B38" s="11" t="n">
        <v>6697</v>
      </c>
      <c r="C38" s="11" t="n">
        <v>496</v>
      </c>
      <c r="D38" s="10" t="inlineStr"/>
      <c r="E38" s="10" t="inlineStr"/>
    </row>
    <row r="40">
      <c r="A40" s="14" t="inlineStr">
        <is>
          <t>The department cut is sized by each unit's declared holding rather than drawn flat. A flat draw saturates the small units, which is the fault that gave one office 270 people declaring out of 270 users on 17 August.</t>
        </is>
      </c>
    </row>
  </sheetData>
  <mergeCells count="5">
    <mergeCell ref="A4:E4"/>
    <mergeCell ref="A20:E20"/>
    <mergeCell ref="A2:E2"/>
    <mergeCell ref="A1:E1"/>
    <mergeCell ref="A40:E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40" customWidth="1" min="1" max="1"/>
    <col width="16" customWidth="1" min="2" max="2"/>
    <col width="70" customWidth="1" min="3" max="3"/>
    <col width="20" customWidth="1" min="4" max="4"/>
  </cols>
  <sheetData>
    <row r="1">
      <c r="A1" s="1" t="inlineStr">
        <is>
          <t>Pending requests, transfers and disposal</t>
        </is>
      </c>
    </row>
    <row r="2" ht="26" customHeight="1">
      <c r="A2" s="2" t="inlineStr">
        <is>
          <t>Slide 68's second callout and slide 69's third. Illustrative. A distribution of the client's own published total, not a measurement.</t>
        </is>
      </c>
    </row>
    <row r="4">
      <c r="A4" s="4" t="inlineStr">
        <is>
          <t>Pending requests and transfers (slide 68)</t>
        </is>
      </c>
      <c r="B4" s="5" t="n"/>
      <c r="C4" s="5" t="n"/>
      <c r="D4" s="5" t="n"/>
    </row>
    <row r="5" ht="42" customHeight="1">
      <c r="A5" s="6" t="inlineStr">
        <is>
          <t>Measure</t>
        </is>
      </c>
      <c r="B5" s="6" t="inlineStr">
        <is>
          <t>Value</t>
        </is>
      </c>
      <c r="C5" s="6" t="inlineStr">
        <is>
          <t>What it means</t>
        </is>
      </c>
      <c r="D5" s="6" t="inlineStr">
        <is>
          <t>Sourced?</t>
        </is>
      </c>
    </row>
    <row r="6">
      <c r="A6" s="7" t="inlineStr">
        <is>
          <t>Storage requests outstanding</t>
        </is>
      </c>
      <c r="B6" s="8" t="n">
        <v>23</v>
      </c>
      <c r="C6" s="7" t="inlineStr">
        <is>
          <t>Requests raised and not yet fulfilled</t>
        </is>
      </c>
      <c r="D6" s="7" t="inlineStr">
        <is>
          <t>No</t>
        </is>
      </c>
    </row>
    <row r="7">
      <c r="A7" s="7" t="inlineStr">
        <is>
          <t>Records awaiting transfer to RAC</t>
        </is>
      </c>
      <c r="B7" s="8" t="n">
        <v>412</v>
      </c>
      <c r="C7" s="7" t="inlineStr">
        <is>
          <t>Counterparts identified in EDRMS, not yet recorded as transferred, of 3,830 identified</t>
        </is>
      </c>
      <c r="D7" s="7" t="inlineStr">
        <is>
          <t>Partly</t>
        </is>
      </c>
    </row>
    <row r="8">
      <c r="A8" s="7" t="inlineStr">
        <is>
          <t>Physical counterparts identified</t>
        </is>
      </c>
      <c r="B8" s="8" t="n">
        <v>3830</v>
      </c>
      <c r="C8" s="7" t="inlineStr">
        <is>
          <t>Declared records recorded as having a paper counterpart</t>
        </is>
      </c>
      <c r="D8" s="15" t="inlineStr">
        <is>
          <t>Yes</t>
        </is>
      </c>
    </row>
    <row r="9">
      <c r="A9" s="7" t="inlineStr">
        <is>
          <t>Retrieval requests outstanding</t>
        </is>
      </c>
      <c r="B9" s="8" t="n">
        <v>17</v>
      </c>
      <c r="C9" s="7" t="inlineStr">
        <is>
          <t>Held in the data. Not drawn on the dashboard.</t>
        </is>
      </c>
      <c r="D9" s="7" t="inlineStr">
        <is>
          <t>No</t>
        </is>
      </c>
    </row>
    <row r="11">
      <c r="A11" s="4" t="inlineStr">
        <is>
          <t>Boxes and folders disposed, by location (slide 69)</t>
        </is>
      </c>
      <c r="B11" s="5" t="n"/>
      <c r="C11" s="5" t="n"/>
      <c r="D11" s="5" t="n"/>
    </row>
    <row r="12" ht="42" customHeight="1">
      <c r="A12" s="6" t="inlineStr">
        <is>
          <t>Location</t>
        </is>
      </c>
      <c r="B12" s="6" t="inlineStr">
        <is>
          <t>No. of boxes disposed</t>
        </is>
      </c>
      <c r="C12" s="6" t="inlineStr">
        <is>
          <t>No. of folders disposed</t>
        </is>
      </c>
      <c r="D12" s="6" t="inlineStr"/>
    </row>
    <row r="13">
      <c r="A13" s="7" t="inlineStr">
        <is>
          <t>Archives Room</t>
        </is>
      </c>
      <c r="B13" s="8" t="n">
        <v>30</v>
      </c>
      <c r="C13" s="8" t="n">
        <v>4</v>
      </c>
      <c r="D13" s="7" t="inlineStr"/>
    </row>
    <row r="14">
      <c r="A14" s="7" t="inlineStr">
        <is>
          <t>Records Center</t>
        </is>
      </c>
      <c r="B14" s="8" t="n">
        <v>29</v>
      </c>
      <c r="C14" s="8" t="n">
        <v>3</v>
      </c>
      <c r="D14" s="7" t="inlineStr"/>
    </row>
    <row r="15">
      <c r="A15" s="7" t="inlineStr">
        <is>
          <t>Offsite Storage</t>
        </is>
      </c>
      <c r="B15" s="8" t="n">
        <v>59</v>
      </c>
      <c r="C15" s="8" t="n">
        <v>5</v>
      </c>
      <c r="D15" s="7" t="inlineStr"/>
    </row>
    <row r="16">
      <c r="A16" s="10" t="inlineStr">
        <is>
          <t>Total</t>
        </is>
      </c>
      <c r="B16" s="13">
        <f>SUM(B13:B15)</f>
        <v/>
      </c>
      <c r="C16" s="13">
        <f>SUM(C13:C15)</f>
        <v/>
      </c>
      <c r="D16" s="10" t="inlineStr"/>
    </row>
    <row r="18">
      <c r="A18" s="14" t="inlineStr">
        <is>
          <t>A freed capacity column used to sit beside this table. It is gone with the capacity chart, for the reason on the Open items sheet.</t>
        </is>
      </c>
    </row>
  </sheetData>
  <mergeCells count="5">
    <mergeCell ref="A1:D1"/>
    <mergeCell ref="A18:D18"/>
    <mergeCell ref="A4:D4"/>
    <mergeCell ref="A2:D2"/>
    <mergeCell ref="A11:D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58" customWidth="1" min="1" max="1"/>
    <col width="16" customWidth="1" min="2" max="2"/>
    <col width="16" customWidth="1" min="3" max="3"/>
    <col width="12" customWidth="1" min="4" max="4"/>
    <col width="46" customWidth="1" min="5" max="5"/>
  </cols>
  <sheetData>
    <row r="1">
      <c r="A1" s="1" t="inlineStr">
        <is>
          <t>Reconciliation</t>
        </is>
      </c>
    </row>
    <row r="2" ht="26" customHeight="1">
      <c r="A2" s="2" t="inlineStr">
        <is>
          <t>The nine checks the dashboard asserts at runtime, reproduced here with live formulas. Every Verdict cell must read Pass. A split that quietly loses a unit is the bug that showed a department 103 records due against a real 75 for four days in August.</t>
        </is>
      </c>
    </row>
    <row r="4" ht="42" customHeight="1">
      <c r="A4" s="6" t="inlineStr">
        <is>
          <t>Check</t>
        </is>
      </c>
      <c r="B4" s="6" t="inlineStr">
        <is>
          <t>Left side</t>
        </is>
      </c>
      <c r="C4" s="6" t="inlineStr">
        <is>
          <t>Right side</t>
        </is>
      </c>
      <c r="D4" s="6" t="inlineStr">
        <is>
          <t>Verdict</t>
        </is>
      </c>
      <c r="E4" s="6" t="inlineStr">
        <is>
          <t>Why it matters</t>
        </is>
      </c>
    </row>
    <row r="5">
      <c r="A5" s="7" t="inlineStr">
        <is>
          <t>Boxes stored by location total the client's published figure</t>
        </is>
      </c>
      <c r="B5" s="8" t="n">
        <v>6697</v>
      </c>
      <c r="C5" s="8" t="n">
        <v>6697</v>
      </c>
      <c r="D5" s="16">
        <f>IF(B5=C5,"Pass","FAIL")</f>
        <v/>
      </c>
      <c r="E5" s="7" t="inlineStr">
        <is>
          <t>The location split may not lose or gain a box.</t>
        </is>
      </c>
    </row>
    <row r="6">
      <c r="A6" s="7" t="inlineStr">
        <is>
          <t>Folders stored by location total the client's published figure</t>
        </is>
      </c>
      <c r="B6" s="8" t="n">
        <v>608</v>
      </c>
      <c r="C6" s="8" t="n">
        <v>608</v>
      </c>
      <c r="D6" s="16">
        <f>IF(B6=C6,"Pass","FAIL")</f>
        <v/>
      </c>
      <c r="E6" s="7" t="inlineStr">
        <is>
          <t>The location split may not lose or gain a folder.</t>
        </is>
      </c>
    </row>
    <row r="7">
      <c r="A7" s="7" t="inlineStr">
        <is>
          <t>Storage requests by location total the published request split</t>
        </is>
      </c>
      <c r="B7" s="8" t="n">
        <v>151</v>
      </c>
      <c r="C7" s="8" t="n">
        <v>151</v>
      </c>
      <c r="D7" s="16">
        <f>IF(B7=C7,"Pass","FAIL")</f>
        <v/>
      </c>
      <c r="E7" s="7" t="inlineStr">
        <is>
          <t>As above, for requests.</t>
        </is>
      </c>
    </row>
    <row r="8">
      <c r="A8" s="7" t="inlineStr">
        <is>
          <t>Retrieval requests by location total the published request split</t>
        </is>
      </c>
      <c r="B8" s="8" t="n">
        <v>108</v>
      </c>
      <c r="C8" s="8" t="n">
        <v>108</v>
      </c>
      <c r="D8" s="16">
        <f>IF(B8=C8,"Pass","FAIL")</f>
        <v/>
      </c>
      <c r="E8" s="7" t="inlineStr">
        <is>
          <t>As above, for requests.</t>
        </is>
      </c>
    </row>
    <row r="9">
      <c r="A9" s="7" t="inlineStr">
        <is>
          <t>Requestors by location total the published staff supported</t>
        </is>
      </c>
      <c r="B9" s="8" t="n">
        <v>283</v>
      </c>
      <c r="C9" s="8" t="n">
        <v>283</v>
      </c>
      <c r="D9" s="16">
        <f>IF(B9=C9,"Pass","FAIL")</f>
        <v/>
      </c>
      <c r="E9" s="7" t="inlineStr">
        <is>
          <t>Departments plus RMs is the client's 283.</t>
        </is>
      </c>
    </row>
    <row r="10">
      <c r="A10" s="7" t="inlineStr">
        <is>
          <t>Boxes retrieved by location total the published retrieval figure</t>
        </is>
      </c>
      <c r="B10" s="8" t="n">
        <v>496</v>
      </c>
      <c r="C10" s="8" t="n">
        <v>496</v>
      </c>
      <c r="D10" s="16">
        <f>IF(B10=C10,"Pass","FAIL")</f>
        <v/>
      </c>
      <c r="E10" s="7" t="inlineStr">
        <is>
          <t>As above, for retrieval.</t>
        </is>
      </c>
    </row>
    <row r="11">
      <c r="A11" s="7" t="inlineStr">
        <is>
          <t>Folders retrieved by location total the published retrieval figure</t>
        </is>
      </c>
      <c r="B11" s="8" t="n">
        <v>45</v>
      </c>
      <c r="C11" s="8" t="n">
        <v>45</v>
      </c>
      <c r="D11" s="16">
        <f>IF(B11=C11,"Pass","FAIL")</f>
        <v/>
      </c>
      <c r="E11" s="7" t="inlineStr">
        <is>
          <t>As above, for retrieval.</t>
        </is>
      </c>
    </row>
    <row r="12">
      <c r="A12" s="7" t="inlineStr">
        <is>
          <t>Nothing is retrieved that was never stored (boxes)</t>
        </is>
      </c>
      <c r="B12" s="8" t="n">
        <v>496</v>
      </c>
      <c r="C12" s="8" t="n">
        <v>6697</v>
      </c>
      <c r="D12" s="16">
        <f>IF(B12&lt;=C12,"Pass","FAIL")</f>
        <v/>
      </c>
      <c r="E12" s="7" t="inlineStr">
        <is>
          <t>Left must be the smaller. A holding cannot give out what it never took in.</t>
        </is>
      </c>
    </row>
    <row r="13">
      <c r="A13" s="7" t="inlineStr">
        <is>
          <t>Nothing is disposed that was never retrieved (boxes)</t>
        </is>
      </c>
      <c r="B13" s="8" t="n">
        <v>118</v>
      </c>
      <c r="C13" s="8" t="n">
        <v>496</v>
      </c>
      <c r="D13" s="16">
        <f>IF(B13&lt;=C13,"Pass","FAIL")</f>
        <v/>
      </c>
      <c r="E13" s="7" t="inlineStr">
        <is>
          <t>Left must be the smaller.</t>
        </is>
      </c>
    </row>
    <row r="14">
      <c r="A14" s="7" t="inlineStr">
        <is>
          <t>The status mix totals retrieval requests, all locations</t>
        </is>
      </c>
      <c r="B14" s="8" t="n">
        <v>108</v>
      </c>
      <c r="C14" s="8" t="n">
        <v>108</v>
      </c>
      <c r="D14" s="16">
        <f>IF(B14=C14,"Pass","FAIL")</f>
        <v/>
      </c>
      <c r="E14" s="7" t="inlineStr">
        <is>
          <t>Loan plus Return to owner plus For Disposal is the request count.</t>
        </is>
      </c>
    </row>
    <row r="15">
      <c r="A15" s="7" t="inlineStr">
        <is>
          <t>Each monthly series sums to its annual total: boxes stored</t>
        </is>
      </c>
      <c r="B15" s="8" t="n">
        <v>6697</v>
      </c>
      <c r="C15" s="8" t="n">
        <v>6697</v>
      </c>
      <c r="D15" s="16">
        <f>IF(B15=C15,"Pass","FAIL")</f>
        <v/>
      </c>
      <c r="E15" s="7" t="inlineStr">
        <is>
          <t>A month chart may not drift from its tile.</t>
        </is>
      </c>
    </row>
    <row r="16">
      <c r="A16" s="7" t="inlineStr">
        <is>
          <t>Each monthly series sums to its annual total: boxes retrieved</t>
        </is>
      </c>
      <c r="B16" s="8" t="n">
        <v>496</v>
      </c>
      <c r="C16" s="8" t="n">
        <v>496</v>
      </c>
      <c r="D16" s="16">
        <f>IF(B16=C16,"Pass","FAIL")</f>
        <v/>
      </c>
      <c r="E16" s="7" t="inlineStr">
        <is>
          <t>As above.</t>
        </is>
      </c>
    </row>
    <row r="17">
      <c r="A17" s="7" t="inlineStr">
        <is>
          <t>Each monthly series sums to its annual total: storage requests</t>
        </is>
      </c>
      <c r="B17" s="8" t="n">
        <v>151</v>
      </c>
      <c r="C17" s="8" t="n">
        <v>151</v>
      </c>
      <c r="D17" s="16">
        <f>IF(B17=C17,"Pass","FAIL")</f>
        <v/>
      </c>
      <c r="E17" s="7" t="inlineStr">
        <is>
          <t>As above.</t>
        </is>
      </c>
    </row>
    <row r="18">
      <c r="A18" s="7" t="inlineStr">
        <is>
          <t>Each monthly series sums to its annual total: retrieval requests</t>
        </is>
      </c>
      <c r="B18" s="8" t="n">
        <v>108</v>
      </c>
      <c r="C18" s="8" t="n">
        <v>108</v>
      </c>
      <c r="D18" s="16">
        <f>IF(B18=C18,"Pass","FAIL")</f>
        <v/>
      </c>
      <c r="E18" s="7" t="inlineStr">
        <is>
          <t>As above.</t>
        </is>
      </c>
    </row>
    <row r="19">
      <c r="A19" s="7" t="inlineStr">
        <is>
          <t>The department cut totals the same boxes as the location cut: stored</t>
        </is>
      </c>
      <c r="B19" s="8" t="n">
        <v>6697</v>
      </c>
      <c r="C19" s="8" t="n">
        <v>6697</v>
      </c>
      <c r="D19" s="16">
        <f>IF(B19=C19,"Pass","FAIL")</f>
        <v/>
      </c>
      <c r="E19" s="7" t="inlineStr">
        <is>
          <t>Two cuts of one total must agree.</t>
        </is>
      </c>
    </row>
    <row r="20">
      <c r="A20" s="7" t="inlineStr">
        <is>
          <t>The department cut totals the same boxes as the location cut: retrieved</t>
        </is>
      </c>
      <c r="B20" s="8" t="n">
        <v>496</v>
      </c>
      <c r="C20" s="8" t="n">
        <v>496</v>
      </c>
      <c r="D20" s="16">
        <f>IF(B20=C20,"Pass","FAIL")</f>
        <v/>
      </c>
      <c r="E20" s="7" t="inlineStr">
        <is>
          <t>Two cuts of one total must agree.</t>
        </is>
      </c>
    </row>
    <row r="21">
      <c r="A21" s="7" t="inlineStr">
        <is>
          <t>Storage plus retrieval requests equal the published total</t>
        </is>
      </c>
      <c r="B21" s="8" t="n">
        <v>259</v>
      </c>
      <c r="C21" s="8" t="n">
        <v>259</v>
      </c>
      <c r="D21" s="16">
        <f>IF(B21=C21,"Pass","FAIL")</f>
        <v/>
      </c>
      <c r="E21" s="7" t="inlineStr">
        <is>
          <t>The client's 259.</t>
        </is>
      </c>
    </row>
    <row r="22">
      <c r="A22" s="7" t="inlineStr">
        <is>
          <t>Boxes plus folders stored equal the published storage activities</t>
        </is>
      </c>
      <c r="B22" s="8" t="n">
        <v>7305</v>
      </c>
      <c r="C22" s="8" t="n">
        <v>7305</v>
      </c>
      <c r="D22" s="16">
        <f>IF(B22=C22,"Pass","FAIL")</f>
        <v/>
      </c>
      <c r="E22" s="7" t="inlineStr">
        <is>
          <t>The client's 7,305.</t>
        </is>
      </c>
    </row>
    <row r="23">
      <c r="A23" s="7" t="inlineStr">
        <is>
          <t>Boxes plus folders retrieved equal the published retrieval activities</t>
        </is>
      </c>
      <c r="B23" s="8" t="n">
        <v>541</v>
      </c>
      <c r="C23" s="8" t="n">
        <v>541</v>
      </c>
      <c r="D23" s="16">
        <f>IF(B23=C23,"Pass","FAIL")</f>
        <v/>
      </c>
      <c r="E23" s="7" t="inlineStr">
        <is>
          <t>The client's 541.</t>
        </is>
      </c>
    </row>
    <row r="24">
      <c r="A24" s="7" t="inlineStr">
        <is>
          <t>Records awaiting transfer do not exceed the counterparts identified</t>
        </is>
      </c>
      <c r="B24" s="8" t="n">
        <v>412</v>
      </c>
      <c r="C24" s="8" t="n">
        <v>3830</v>
      </c>
      <c r="D24" s="16">
        <f>IF(B24&lt;=C24,"Pass","FAIL")</f>
        <v/>
      </c>
      <c r="E24" s="7" t="inlineStr">
        <is>
          <t>Left must be the smaller.</t>
        </is>
      </c>
    </row>
    <row r="26">
      <c r="A26" s="14" t="inlineStr">
        <is>
          <t>Rows 8, 9 and 20 are less than or equal checks. All others are equalities.</t>
        </is>
      </c>
    </row>
  </sheetData>
  <mergeCells count="3">
    <mergeCell ref="A2:E2"/>
    <mergeCell ref="A1:E1"/>
    <mergeCell ref="A26:E2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46" customWidth="1" min="1" max="1"/>
    <col width="16" customWidth="1" min="2" max="2"/>
    <col width="62" customWidth="1" min="3" max="3"/>
    <col width="46" customWidth="1" min="4" max="4"/>
  </cols>
  <sheetData>
    <row r="1">
      <c r="A1" s="1" t="inlineStr">
        <is>
          <t>Open items and what is not sourced</t>
        </is>
      </c>
    </row>
    <row r="2" ht="26" customHeight="1">
      <c r="A2" s="2" t="inlineStr">
        <is>
          <t>Two questions the client put to this project and this project has not answered, and every measure on the dashboard that has no source yet.</t>
        </is>
      </c>
    </row>
    <row r="4">
      <c r="A4" s="4" t="inlineStr">
        <is>
          <t>Questions the client asked us, still open</t>
        </is>
      </c>
      <c r="B4" s="5" t="n"/>
      <c r="C4" s="5" t="n"/>
      <c r="D4" s="5" t="n"/>
    </row>
    <row r="5" ht="42" customHeight="1">
      <c r="A5" s="6" t="inlineStr">
        <is>
          <t>Question, in the client's words</t>
        </is>
      </c>
      <c r="B5" s="6" t="inlineStr">
        <is>
          <t>Slide</t>
        </is>
      </c>
      <c r="C5" s="6" t="inlineStr">
        <is>
          <t>Status</t>
        </is>
      </c>
      <c r="D5" s="6" t="inlineStr">
        <is>
          <t>What answering it needs</t>
        </is>
      </c>
    </row>
    <row r="6">
      <c r="A6" s="7" t="inlineStr">
        <is>
          <t>Can room capacity and % available storage capacity be included?</t>
        </is>
      </c>
      <c r="B6" s="7" t="inlineStr">
        <is>
          <t>68</t>
        </is>
      </c>
      <c r="C6" s="17" t="inlineStr">
        <is>
          <t>OPEN. Not answered. A 65 / 80 / 45 per cent capacity chart was drawn here and was removed on 24 August, because it answered the client's own question with an invention.</t>
        </is>
      </c>
      <c r="D6" s="7" t="inlineStr">
        <is>
          <t>A capacity figure per location from RAC, and a definition of what full means.</t>
        </is>
      </c>
    </row>
    <row r="7">
      <c r="A7" s="7" t="inlineStr">
        <is>
          <t>Does retrieval free up storage capacity, and should the capacity figure update?</t>
        </is>
      </c>
      <c r="B7" s="7" t="inlineStr">
        <is>
          <t>69</t>
        </is>
      </c>
      <c r="C7" s="17" t="inlineStr">
        <is>
          <t>OPEN. Not answered. This is a definition the client owns, not one to assume.</t>
        </is>
      </c>
      <c r="D7" s="7" t="inlineStr">
        <is>
          <t>The client's decision, then the capacity source above.</t>
        </is>
      </c>
    </row>
    <row r="9">
      <c r="A9" s="4" t="inlineStr">
        <is>
          <t>Measures on the dashboard with no source yet</t>
        </is>
      </c>
      <c r="B9" s="5" t="n"/>
      <c r="C9" s="5" t="n"/>
      <c r="D9" s="5" t="n"/>
    </row>
    <row r="10" ht="42" customHeight="1">
      <c r="A10" s="6" t="inlineStr">
        <is>
          <t>Measure</t>
        </is>
      </c>
      <c r="B10" s="6" t="inlineStr">
        <is>
          <t>Slide</t>
        </is>
      </c>
      <c r="C10" s="6" t="inlineStr">
        <is>
          <t>Why it is not sourced</t>
        </is>
      </c>
      <c r="D10" s="6" t="inlineStr">
        <is>
          <t>What it needs</t>
        </is>
      </c>
    </row>
    <row r="11">
      <c r="A11" s="7" t="inlineStr">
        <is>
          <t>Storage requests, retrieval requests</t>
        </is>
      </c>
      <c r="B11" s="7" t="inlineStr">
        <is>
          <t>68, 69</t>
        </is>
      </c>
      <c r="C11" s="7" t="inlineStr">
        <is>
          <t>Requests are raised in eServe. There is no feed from eServe into the reporting database.</t>
        </is>
      </c>
      <c r="D11" s="7" t="inlineStr">
        <is>
          <t>An eServe extract, or a manual return from RAC.</t>
        </is>
      </c>
    </row>
    <row r="12">
      <c r="A12" s="7" t="inlineStr">
        <is>
          <t>Requestors, departments and RMs</t>
        </is>
      </c>
      <c r="B12" s="7" t="inlineStr">
        <is>
          <t>68, 69</t>
        </is>
      </c>
      <c r="C12" s="7" t="inlineStr">
        <is>
          <t>Same as above. The requestor is on the eServe request.</t>
        </is>
      </c>
      <c r="D12" s="7" t="inlineStr">
        <is>
          <t>An eServe extract.</t>
        </is>
      </c>
    </row>
    <row r="13">
      <c r="A13" s="7" t="inlineStr">
        <is>
          <t>Boxes and folders stored, by location</t>
        </is>
      </c>
      <c r="B13" s="7" t="inlineStr">
        <is>
          <t>68</t>
        </is>
      </c>
      <c r="C13" s="7" t="inlineStr">
        <is>
          <t>The physical holdings are not in any system this project can read.</t>
        </is>
      </c>
      <c r="D13" s="7" t="inlineStr">
        <is>
          <t>RAC's own holdings register, per location.</t>
        </is>
      </c>
    </row>
    <row r="14">
      <c r="A14" s="7" t="inlineStr">
        <is>
          <t>Boxes and folders retrieved, by location</t>
        </is>
      </c>
      <c r="B14" s="7" t="inlineStr">
        <is>
          <t>69</t>
        </is>
      </c>
      <c r="C14" s="7" t="inlineStr">
        <is>
          <t>As above.</t>
        </is>
      </c>
      <c r="D14" s="7" t="inlineStr">
        <is>
          <t>RAC's holdings register.</t>
        </is>
      </c>
    </row>
    <row r="15">
      <c r="A15" s="7" t="inlineStr">
        <is>
          <t>Status: Loan, Return to owner, For Disposal</t>
        </is>
      </c>
      <c r="B15" s="7" t="inlineStr">
        <is>
          <t>69</t>
        </is>
      </c>
      <c r="C15" s="7" t="inlineStr">
        <is>
          <t>The vocabulary is the client's. Nothing records which applies to a retrieval.</t>
        </is>
      </c>
      <c r="D15" s="7" t="inlineStr">
        <is>
          <t>The status field on RAC's retrieval record.</t>
        </is>
      </c>
    </row>
    <row r="16">
      <c r="A16" s="7" t="inlineStr">
        <is>
          <t>Boxes and folders disposed</t>
        </is>
      </c>
      <c r="B16" s="7" t="inlineStr">
        <is>
          <t>69</t>
        </is>
      </c>
      <c r="C16" s="7" t="inlineStr">
        <is>
          <t>No disposal event is recorded anywhere readable.</t>
        </is>
      </c>
      <c r="D16" s="7" t="inlineStr">
        <is>
          <t>RAC's disposal register.</t>
        </is>
      </c>
    </row>
    <row r="17">
      <c r="A17" s="7" t="inlineStr">
        <is>
          <t>Storage requests outstanding</t>
        </is>
      </c>
      <c r="B17" s="7" t="inlineStr">
        <is>
          <t>68</t>
        </is>
      </c>
      <c r="C17" s="7" t="inlineStr">
        <is>
          <t>Requires the request lifecycle from eServe.</t>
        </is>
      </c>
      <c r="D17" s="7" t="inlineStr">
        <is>
          <t>An eServe extract carrying request state.</t>
        </is>
      </c>
    </row>
    <row r="18">
      <c r="A18" s="7" t="inlineStr">
        <is>
          <t>Records awaiting transfer to RAC</t>
        </is>
      </c>
      <c r="B18" s="7" t="inlineStr">
        <is>
          <t>68</t>
        </is>
      </c>
      <c r="C18" s="7" t="inlineStr">
        <is>
          <t>Half sourced. The counterparts identified are real, from EDRMS. The transfer event is not recorded, so the difference cannot be computed.</t>
        </is>
      </c>
      <c r="D18" s="7" t="inlineStr">
        <is>
          <t>A transfer event, either in EDRMS or in RAC's register.</t>
        </is>
      </c>
    </row>
    <row r="19">
      <c r="A19" s="7" t="inlineStr">
        <is>
          <t>Location of a holding: Archives Room, Records Center, Offsite Storage</t>
        </is>
      </c>
      <c r="B19" s="7" t="inlineStr">
        <is>
          <t>68, 69</t>
        </is>
      </c>
      <c r="C19" s="7" t="inlineStr">
        <is>
          <t>The three locations are the client's. No system carries which one a box is in.</t>
        </is>
      </c>
      <c r="D19" s="7" t="inlineStr">
        <is>
          <t>RAC's holdings register.</t>
        </is>
      </c>
    </row>
    <row r="20">
      <c r="A20" s="7" t="inlineStr">
        <is>
          <t>Month on month, per department</t>
        </is>
      </c>
      <c r="B20" s="7" t="inlineStr">
        <is>
          <t>68, 69</t>
        </is>
      </c>
      <c r="C20" s="7" t="inlineStr">
        <is>
          <t>Depends on every source above carrying a date and a department.</t>
        </is>
      </c>
      <c r="D20" s="7" t="inlineStr">
        <is>
          <t>A dated, department stamped holdings register.</t>
        </is>
      </c>
    </row>
    <row r="22">
      <c r="A22" s="4" t="inlineStr">
        <is>
          <t>What IS sourced</t>
        </is>
      </c>
      <c r="B22" s="5" t="n"/>
      <c r="C22" s="5" t="n"/>
      <c r="D22" s="5" t="n"/>
    </row>
    <row r="23" ht="42" customHeight="1">
      <c r="A23" s="6" t="inlineStr">
        <is>
          <t>Measure</t>
        </is>
      </c>
      <c r="B23" s="6" t="inlineStr">
        <is>
          <t>Value</t>
        </is>
      </c>
      <c r="C23" s="6" t="inlineStr">
        <is>
          <t>Source</t>
        </is>
      </c>
      <c r="D23" s="6" t="inlineStr">
        <is>
          <t>Note</t>
        </is>
      </c>
    </row>
    <row r="24">
      <c r="A24" s="7" t="inlineStr">
        <is>
          <t>Physical counterparts identified</t>
        </is>
      </c>
      <c r="B24" s="18" t="n">
        <v>3830</v>
      </c>
      <c r="C24" s="7" t="inlineStr">
        <is>
          <t>public."Records" in drm-npr, declared records flagged as having a paper counterpart</t>
        </is>
      </c>
      <c r="D24" s="7" t="inlineStr">
        <is>
          <t>The one figure on this dashboard with a real parent, and the bridge between this report and the physical estate.</t>
        </is>
      </c>
    </row>
  </sheetData>
  <mergeCells count="5">
    <mergeCell ref="A1:D1"/>
    <mergeCell ref="A9:D9"/>
    <mergeCell ref="A22:D22"/>
    <mergeCell ref="A4:D4"/>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2026-08-24T05:24:14Z</dcterms:created>
  <dcterms:modified xsi:type="dcterms:W3CDTF">2026-08-24T05:24:14Z</dcterms:modified>
</cp:coreProperties>
</file>