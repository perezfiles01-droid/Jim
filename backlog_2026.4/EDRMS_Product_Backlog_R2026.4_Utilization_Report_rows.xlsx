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38640" windowHeight="21120" tabRatio="867" firstSheet="1" autoFilterDateGrouping="1"/>
  </bookViews>
  <sheets>
    <sheet xmlns:r="http://schemas.openxmlformats.org/officeDocument/2006/relationships" name="Backlog" sheetId="1" state="visible" r:id="rId1"/>
  </sheets>
  <definedNames>
    <definedName name="_xlnm._FilterDatabase" localSheetId="0" hidden="1">'Backlog'!$A$2:$T$20</definedName>
  </definedNames>
  <calcPr calcId="191028" fullCalcOnLoad="1"/>
</workbook>
</file>

<file path=xl/styles.xml><?xml version="1.0" encoding="utf-8"?>
<styleSheet xmlns="http://schemas.openxmlformats.org/spreadsheetml/2006/main">
  <numFmts count="0"/>
  <fonts count="40">
    <font>
      <name val="Aptos Narrow"/>
      <family val="2"/>
      <color theme="1"/>
      <sz val="11"/>
      <scheme val="minor"/>
    </font>
    <font>
      <name val="Aptos Narrow"/>
      <family val="2"/>
      <color theme="1"/>
      <sz val="10"/>
      <scheme val="minor"/>
    </font>
    <font>
      <name val="Aptos Narrow"/>
      <family val="2"/>
      <b val="1"/>
      <color theme="1"/>
      <sz val="10"/>
      <scheme val="minor"/>
    </font>
    <font>
      <name val="Aptos Narrow"/>
      <family val="2"/>
      <b val="1"/>
      <color theme="1"/>
      <sz val="11"/>
      <scheme val="minor"/>
    </font>
    <font>
      <name val="Aptos Narrow"/>
      <family val="2"/>
      <b val="1"/>
      <color theme="1"/>
      <sz val="9"/>
      <scheme val="minor"/>
    </font>
    <font>
      <name val="Aptos Narrow"/>
      <family val="2"/>
      <i val="1"/>
      <color theme="1"/>
      <sz val="11"/>
      <scheme val="minor"/>
    </font>
    <font>
      <name val="Aptos Narrow"/>
      <family val="2"/>
      <b val="1"/>
      <color rgb="FF000000"/>
      <sz val="11"/>
      <scheme val="minor"/>
    </font>
    <font>
      <name val="Aptos Narrow"/>
      <color rgb="FF000000"/>
      <sz val="10"/>
      <scheme val="minor"/>
    </font>
    <font>
      <name val="Aptos Narrow"/>
      <b val="1"/>
      <color rgb="FF000000"/>
      <sz val="10"/>
      <scheme val="minor"/>
    </font>
    <font>
      <name val="Aptos Narrow"/>
      <family val="2"/>
      <color rgb="FFFF0000"/>
      <sz val="11"/>
      <scheme val="minor"/>
    </font>
    <font>
      <name val="Aptos Narrow"/>
      <family val="2"/>
      <color rgb="FFFF0000"/>
      <sz val="10"/>
      <scheme val="minor"/>
    </font>
    <font>
      <name val="Aptos Narrow"/>
      <family val="2"/>
      <sz val="10"/>
      <scheme val="minor"/>
    </font>
    <font>
      <name val="Aptos Narrow"/>
      <family val="2"/>
      <color rgb="FF000000"/>
      <sz val="11"/>
      <scheme val="minor"/>
    </font>
    <font>
      <name val="Aptos Narrow"/>
      <family val="2"/>
      <sz val="11"/>
      <scheme val="minor"/>
    </font>
    <font>
      <name val="Aptos Narrow"/>
      <family val="2"/>
      <b val="1"/>
      <sz val="11"/>
      <scheme val="minor"/>
    </font>
    <font>
      <name val="Aptos Narrow"/>
      <color rgb="FF000000"/>
      <sz val="11"/>
      <scheme val="minor"/>
    </font>
    <font>
      <name val="Aptos Narrow"/>
      <family val="2"/>
      <b val="1"/>
      <sz val="10"/>
      <scheme val="minor"/>
    </font>
    <font>
      <name val="Aptos Narrow"/>
      <family val="2"/>
      <color theme="10"/>
      <sz val="11"/>
      <u val="single"/>
      <scheme val="minor"/>
    </font>
    <font>
      <name val="Aptos Narrow"/>
      <family val="2"/>
      <color rgb="FF000000"/>
      <sz val="10"/>
      <scheme val="minor"/>
    </font>
    <font>
      <name val="Aptos Narrow"/>
      <color rgb="FF000000"/>
      <sz val="11"/>
    </font>
    <font>
      <name val="Aptos Narrow"/>
      <b val="1"/>
      <color rgb="FF000000"/>
      <sz val="11"/>
    </font>
    <font>
      <name val="Aptos Narrow"/>
      <sz val="10"/>
      <scheme val="minor"/>
    </font>
    <font>
      <name val="Aptos Narrow"/>
      <b val="1"/>
      <color rgb="FF000000"/>
      <sz val="11"/>
      <scheme val="minor"/>
    </font>
    <font>
      <name val="Aptos Narrow"/>
      <color rgb="FFFF0000"/>
      <sz val="10"/>
      <scheme val="minor"/>
    </font>
    <font>
      <name val="Aptos Narrow"/>
      <charset val="1"/>
      <color rgb="FF000000"/>
      <sz val="11"/>
    </font>
    <font>
      <name val="Aptos Narrow"/>
      <family val="2"/>
      <b val="1"/>
      <color rgb="FF000000"/>
      <sz val="10"/>
      <scheme val="minor"/>
    </font>
    <font>
      <name val="Aptos Narrow"/>
      <charset val="1"/>
      <color rgb="FF000000"/>
      <sz val="10"/>
    </font>
    <font>
      <name val="Aptos Narrow"/>
      <family val="2"/>
      <strike val="1"/>
      <sz val="10"/>
      <scheme val="minor"/>
    </font>
    <font>
      <name val="Aptos Narrow"/>
      <family val="2"/>
      <strike val="1"/>
      <color rgb="FFFF0000"/>
      <sz val="10"/>
      <scheme val="minor"/>
    </font>
    <font>
      <name val="Aptos Narrow"/>
      <family val="2"/>
      <strike val="1"/>
      <color rgb="FF000000"/>
      <sz val="10"/>
      <scheme val="minor"/>
    </font>
    <font>
      <name val="Aptos Narrow"/>
      <b val="1"/>
      <color rgb="FF000000"/>
      <sz val="9"/>
      <scheme val="minor"/>
    </font>
    <font>
      <name val="Aptos Narrow"/>
      <strike val="1"/>
      <color rgb="FF000000"/>
      <sz val="11"/>
      <scheme val="minor"/>
    </font>
    <font>
      <name val="Aptos Narrow"/>
      <color rgb="FFFF0000"/>
      <sz val="11"/>
      <scheme val="minor"/>
    </font>
    <font>
      <name val="Aptos Narrow"/>
      <family val="2"/>
      <color theme="1"/>
      <sz val="11"/>
      <scheme val="minor"/>
    </font>
    <font>
      <name val="Aptos Narrow"/>
      <color rgb="FF0F9ED5"/>
      <sz val="11"/>
      <u val="single"/>
      <scheme val="minor"/>
    </font>
    <font>
      <name val="Aptos Narrow"/>
      <b val="1"/>
      <color rgb="FFFF0000"/>
      <sz val="11"/>
      <scheme val="minor"/>
    </font>
    <font>
      <name val="Aptos Narrow"/>
      <i val="1"/>
      <color rgb="FFFF0000"/>
      <sz val="11"/>
      <scheme val="minor"/>
    </font>
    <font>
      <name val="Aptos Narrow"/>
      <family val="2"/>
      <b val="1"/>
      <color rgb="FFFF0000"/>
      <sz val="11"/>
      <scheme val="minor"/>
    </font>
    <font>
      <name val="Aptos Narrow"/>
      <family val="2"/>
      <i val="1"/>
      <color rgb="FFFF0000"/>
      <sz val="11"/>
      <scheme val="minor"/>
    </font>
    <font>
      <name val="Aptos Narrow"/>
      <strike val="1"/>
      <color rgb="FF000000"/>
      <sz val="10"/>
      <scheme val="minor"/>
    </font>
  </fonts>
  <fills count="10">
    <fill>
      <patternFill/>
    </fill>
    <fill>
      <patternFill patternType="gray125"/>
    </fill>
    <fill>
      <patternFill patternType="solid">
        <fgColor theme="5" tint="0.7999816888943144"/>
        <bgColor indexed="64"/>
      </patternFill>
    </fill>
    <fill>
      <patternFill patternType="solid">
        <fgColor rgb="FFFFFF00"/>
        <bgColor indexed="64"/>
      </patternFill>
    </fill>
    <fill>
      <patternFill patternType="solid">
        <fgColor theme="0" tint="-0.0499893185216834"/>
        <bgColor indexed="64"/>
      </patternFill>
    </fill>
    <fill>
      <patternFill patternType="solid">
        <fgColor theme="0" tint="-0.1499984740745262"/>
        <bgColor indexed="64"/>
      </patternFill>
    </fill>
    <fill>
      <patternFill patternType="solid">
        <fgColor theme="2" tint="-0.249977111117893"/>
        <bgColor indexed="64"/>
      </patternFill>
    </fill>
    <fill>
      <patternFill patternType="solid">
        <fgColor theme="3" tint="0.8999908444471572"/>
        <bgColor indexed="64"/>
      </patternFill>
    </fill>
    <fill>
      <patternFill patternType="solid">
        <fgColor theme="9" tint="0.7999816888943144"/>
        <bgColor indexed="64"/>
      </patternFill>
    </fill>
    <fill>
      <patternFill patternType="solid">
        <fgColor theme="5" tint="0.5999938962981048"/>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33" fillId="0" borderId="0"/>
    <xf numFmtId="0" fontId="17" fillId="0" borderId="0"/>
  </cellStyleXfs>
  <cellXfs count="170">
    <xf numFmtId="0" fontId="0" fillId="0" borderId="0" pivotButton="0" quotePrefix="0" xfId="0"/>
    <xf numFmtId="0" fontId="1" fillId="0" borderId="0" pivotButton="0" quotePrefix="0" xfId="0"/>
    <xf numFmtId="0" fontId="2" fillId="0" borderId="0" applyAlignment="1" pivotButton="0" quotePrefix="0" xfId="0">
      <alignment horizontal="center" vertical="center" wrapText="1"/>
    </xf>
    <xf numFmtId="0" fontId="1" fillId="0" borderId="0" applyAlignment="1" pivotButton="0" quotePrefix="0" xfId="0">
      <alignment horizontal="center"/>
    </xf>
    <xf numFmtId="0" fontId="1" fillId="0" borderId="0" applyAlignment="1" pivotButton="0" quotePrefix="0" xfId="0">
      <alignment wrapText="1"/>
    </xf>
    <xf numFmtId="0" fontId="1" fillId="0" borderId="0" applyAlignment="1" pivotButton="0" quotePrefix="0" xfId="0">
      <alignment horizontal="center" vertical="center" wrapText="1"/>
    </xf>
    <xf numFmtId="0" fontId="1" fillId="0" borderId="0" applyAlignment="1" pivotButton="0" quotePrefix="0" xfId="0">
      <alignment vertical="center" wrapText="1"/>
    </xf>
    <xf numFmtId="49" fontId="1" fillId="0" borderId="0" applyAlignment="1" pivotButton="0" quotePrefix="0" xfId="0">
      <alignment horizontal="center" vertical="center" wrapText="1"/>
    </xf>
    <xf numFmtId="0" fontId="1" fillId="0" borderId="0" applyAlignment="1" pivotButton="0" quotePrefix="0" xfId="0">
      <alignment horizontal="left" vertical="center" wrapText="1"/>
    </xf>
    <xf numFmtId="0" fontId="1" fillId="3" borderId="0" applyAlignment="1" pivotButton="0" quotePrefix="0" xfId="0">
      <alignment vertical="center" wrapText="1"/>
    </xf>
    <xf numFmtId="0" fontId="1" fillId="3" borderId="0" applyAlignment="1" pivotButton="0" quotePrefix="0" xfId="0">
      <alignment horizontal="center" vertical="center" wrapText="1"/>
    </xf>
    <xf numFmtId="49" fontId="1" fillId="3" borderId="0" applyAlignment="1" pivotButton="0" quotePrefix="0" xfId="0">
      <alignment horizontal="center" vertical="center" wrapText="1"/>
    </xf>
    <xf numFmtId="0" fontId="2" fillId="3" borderId="0" applyAlignment="1" pivotButton="0" quotePrefix="0" xfId="0">
      <alignment horizontal="left" vertical="center"/>
    </xf>
    <xf numFmtId="0" fontId="4" fillId="0" borderId="0" applyAlignment="1" pivotButton="0" quotePrefix="0" xfId="0">
      <alignment horizontal="center" vertical="center" wrapText="1"/>
    </xf>
    <xf numFmtId="0" fontId="4" fillId="0" borderId="1" applyAlignment="1" pivotButton="0" quotePrefix="0" xfId="0">
      <alignment horizontal="center" vertical="center" wrapText="1"/>
    </xf>
    <xf numFmtId="49" fontId="4" fillId="0" borderId="1" applyAlignment="1" pivotButton="0" quotePrefix="0" xfId="0">
      <alignment horizontal="center" vertical="center" wrapText="1"/>
    </xf>
    <xf numFmtId="0" fontId="4" fillId="2" borderId="1" applyAlignment="1" pivotButton="0" quotePrefix="0" xfId="0">
      <alignment horizontal="center" vertical="center" wrapText="1"/>
    </xf>
    <xf numFmtId="0" fontId="3" fillId="3" borderId="0" pivotButton="0" quotePrefix="0" xfId="0"/>
    <xf numFmtId="0" fontId="0" fillId="3" borderId="0" pivotButton="0" quotePrefix="0" xfId="0"/>
    <xf numFmtId="0" fontId="3" fillId="3" borderId="0" applyAlignment="1" pivotButton="0" quotePrefix="0" xfId="0">
      <alignment horizontal="left"/>
    </xf>
    <xf numFmtId="0" fontId="3"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0" fillId="3" borderId="0" applyAlignment="1" pivotButton="0" quotePrefix="0" xfId="0">
      <alignment horizontal="center"/>
    </xf>
    <xf numFmtId="0" fontId="6" fillId="0" borderId="0" applyAlignment="1" pivotButton="0" quotePrefix="0" xfId="0">
      <alignment horizontal="center" vertical="center" wrapText="1"/>
    </xf>
    <xf numFmtId="0" fontId="0" fillId="3" borderId="0" applyAlignment="1" pivotButton="0" quotePrefix="0" xfId="0">
      <alignment horizontal="center" vertical="center"/>
    </xf>
    <xf numFmtId="0" fontId="0" fillId="3" borderId="0" applyAlignment="1" pivotButton="0" quotePrefix="0" xfId="0">
      <alignment vertical="center"/>
    </xf>
    <xf numFmtId="0" fontId="7" fillId="0" borderId="0" applyAlignment="1" pivotButton="0" quotePrefix="0" xfId="0">
      <alignment vertical="center" wrapText="1"/>
    </xf>
    <xf numFmtId="0" fontId="10" fillId="0" borderId="0" applyAlignment="1" pivotButton="0" quotePrefix="0" xfId="0">
      <alignment vertical="center" wrapText="1"/>
    </xf>
    <xf numFmtId="0" fontId="11" fillId="0" borderId="0" applyAlignment="1" pivotButton="0" quotePrefix="0" xfId="0">
      <alignment vertical="center" wrapText="1"/>
    </xf>
    <xf numFmtId="0" fontId="11" fillId="0" borderId="0" applyAlignment="1" pivotButton="0" quotePrefix="0" xfId="0">
      <alignment horizontal="center" vertical="center" wrapText="1"/>
    </xf>
    <xf numFmtId="0" fontId="9" fillId="0" borderId="0" applyAlignment="1" pivotButton="0" quotePrefix="0" xfId="0">
      <alignment vertical="center" wrapText="1"/>
    </xf>
    <xf numFmtId="49" fontId="11"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vertical="center"/>
    </xf>
    <xf numFmtId="0" fontId="3" fillId="0" borderId="1" applyAlignment="1" pivotButton="0" quotePrefix="0" xfId="0">
      <alignment horizontal="center" vertical="center" wrapText="1"/>
    </xf>
    <xf numFmtId="0" fontId="3" fillId="0" borderId="2" applyAlignment="1" pivotButton="0" quotePrefix="0" xfId="0">
      <alignment horizontal="center" vertical="center" wrapText="1"/>
    </xf>
    <xf numFmtId="0" fontId="3" fillId="4" borderId="3" applyAlignment="1" pivotButton="0" quotePrefix="0" xfId="0">
      <alignment vertical="center"/>
    </xf>
    <xf numFmtId="0" fontId="0" fillId="4" borderId="3" applyAlignment="1" pivotButton="0" quotePrefix="0" xfId="0">
      <alignment vertical="center"/>
    </xf>
    <xf numFmtId="0" fontId="0" fillId="4" borderId="3" applyAlignment="1" pivotButton="0" quotePrefix="0" xfId="0">
      <alignment horizontal="center" vertical="center" wrapText="1"/>
    </xf>
    <xf numFmtId="0" fontId="0" fillId="4" borderId="4" applyAlignment="1" pivotButton="0" quotePrefix="0" xfId="0">
      <alignment horizontal="center" vertical="center" wrapText="1"/>
    </xf>
    <xf numFmtId="14" fontId="0" fillId="0" borderId="0"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vertical="center"/>
    </xf>
    <xf numFmtId="14" fontId="0" fillId="0" borderId="6"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3" fillId="4" borderId="0" applyAlignment="1" pivotButton="0" quotePrefix="0" xfId="0">
      <alignment vertical="center"/>
    </xf>
    <xf numFmtId="0" fontId="0" fillId="4" borderId="0" applyAlignment="1" pivotButton="0" quotePrefix="0" xfId="0">
      <alignment vertical="center"/>
    </xf>
    <xf numFmtId="0" fontId="0" fillId="4" borderId="0" applyAlignment="1" pivotButton="0" quotePrefix="0" xfId="0">
      <alignment horizontal="center" vertical="center" wrapText="1"/>
    </xf>
    <xf numFmtId="0" fontId="0" fillId="4" borderId="5" applyAlignment="1" pivotButton="0" quotePrefix="0" xfId="0">
      <alignment horizontal="center" vertical="center" wrapText="1"/>
    </xf>
    <xf numFmtId="0" fontId="3" fillId="3" borderId="0" applyAlignment="1" pivotButton="0" quotePrefix="0" xfId="0">
      <alignment vertical="center"/>
    </xf>
    <xf numFmtId="0" fontId="3" fillId="0" borderId="4" applyAlignment="1" pivotButton="0" quotePrefix="0" xfId="0">
      <alignment horizontal="center" vertical="center" wrapText="1"/>
    </xf>
    <xf numFmtId="0" fontId="0" fillId="4" borderId="3" applyAlignment="1" pivotButton="0" quotePrefix="0" xfId="0">
      <alignment horizontal="center" vertical="center"/>
    </xf>
    <xf numFmtId="0" fontId="0" fillId="0" borderId="0" applyAlignment="1" pivotButton="0" quotePrefix="0" xfId="0">
      <alignment horizontal="center" vertical="center"/>
    </xf>
    <xf numFmtId="0" fontId="0" fillId="0" borderId="6" applyAlignment="1" pivotButton="0" quotePrefix="0" xfId="0">
      <alignment horizontal="center" vertical="center"/>
    </xf>
    <xf numFmtId="0" fontId="0" fillId="4" borderId="0" applyAlignment="1" pivotButton="0" quotePrefix="0" xfId="0">
      <alignment horizontal="center" vertical="center"/>
    </xf>
    <xf numFmtId="0" fontId="3" fillId="5" borderId="0" applyAlignment="1" pivotButton="0" quotePrefix="0" xfId="0">
      <alignment horizontal="left"/>
    </xf>
    <xf numFmtId="0" fontId="0" fillId="5" borderId="0" applyAlignment="1" pivotButton="0" quotePrefix="0" xfId="0">
      <alignment horizontal="left"/>
    </xf>
    <xf numFmtId="0" fontId="0" fillId="5" borderId="0" pivotButton="0" quotePrefix="0" xfId="0"/>
    <xf numFmtId="0" fontId="0" fillId="5" borderId="0" applyAlignment="1" pivotButton="0" quotePrefix="0" xfId="0">
      <alignment horizontal="center"/>
    </xf>
    <xf numFmtId="0" fontId="12" fillId="0" borderId="0" applyAlignment="1" pivotButton="0" quotePrefix="0" xfId="0">
      <alignment horizontal="center" vertical="center" wrapText="1"/>
    </xf>
    <xf numFmtId="0" fontId="12" fillId="0" borderId="0" applyAlignment="1" pivotButton="0" quotePrefix="0" xfId="0">
      <alignment vertical="center" wrapText="1"/>
    </xf>
    <xf numFmtId="0" fontId="12" fillId="0" borderId="0" applyAlignment="1" pivotButton="0" quotePrefix="0" xfId="0">
      <alignment vertical="top" wrapText="1"/>
    </xf>
    <xf numFmtId="0" fontId="13" fillId="0" borderId="0" applyAlignment="1" pivotButton="0" quotePrefix="0" xfId="0">
      <alignment horizontal="center" vertical="center" wrapText="1"/>
    </xf>
    <xf numFmtId="0" fontId="13" fillId="0" borderId="0" applyAlignment="1" pivotButton="0" quotePrefix="0" xfId="0">
      <alignment vertical="center" wrapText="1"/>
    </xf>
    <xf numFmtId="0" fontId="14" fillId="3" borderId="0" applyAlignment="1" pivotButton="0" quotePrefix="0" xfId="0">
      <alignment horizontal="left" vertical="center"/>
    </xf>
    <xf numFmtId="0" fontId="14" fillId="0" borderId="0" applyAlignment="1" pivotButton="0" quotePrefix="0" xfId="0">
      <alignment horizontal="center" vertical="center" wrapText="1"/>
    </xf>
    <xf numFmtId="0" fontId="11" fillId="0" borderId="0" applyAlignment="1" pivotButton="0" quotePrefix="0" xfId="0">
      <alignment vertical="top" wrapText="1"/>
    </xf>
    <xf numFmtId="0" fontId="0" fillId="3" borderId="0" applyAlignment="1" pivotButton="0" quotePrefix="0" xfId="0">
      <alignment wrapText="1"/>
    </xf>
    <xf numFmtId="0" fontId="0" fillId="0" borderId="0" applyAlignment="1" pivotButton="0" quotePrefix="0" xfId="0">
      <alignment wrapText="1"/>
    </xf>
    <xf numFmtId="0" fontId="0" fillId="6" borderId="0" pivotButton="0" quotePrefix="0" xfId="0"/>
    <xf numFmtId="0" fontId="0" fillId="6" borderId="0" applyAlignment="1" pivotButton="0" quotePrefix="0" xfId="0">
      <alignment vertical="center"/>
    </xf>
    <xf numFmtId="0" fontId="0" fillId="6" borderId="0" applyAlignment="1" pivotButton="0" quotePrefix="0" xfId="0">
      <alignment wrapText="1"/>
    </xf>
    <xf numFmtId="0" fontId="0" fillId="6" borderId="0" applyAlignment="1" pivotButton="0" quotePrefix="0" xfId="0">
      <alignment horizontal="center" vertical="center"/>
    </xf>
    <xf numFmtId="0" fontId="17" fillId="0" borderId="0" pivotButton="0" quotePrefix="0" xfId="1"/>
    <xf numFmtId="0" fontId="3" fillId="3" borderId="0" applyAlignment="1" pivotButton="0" quotePrefix="0" xfId="0">
      <alignment horizontal="left" vertical="center"/>
    </xf>
    <xf numFmtId="0" fontId="18" fillId="0" borderId="0" applyAlignment="1" pivotButton="0" quotePrefix="0" xfId="0">
      <alignment vertical="center" wrapText="1"/>
    </xf>
    <xf numFmtId="0" fontId="20" fillId="5" borderId="0" applyAlignment="1" pivotButton="0" quotePrefix="0" xfId="0">
      <alignment horizontal="left"/>
    </xf>
    <xf numFmtId="0" fontId="0" fillId="0" borderId="0" applyAlignment="1" pivotButton="0" quotePrefix="0" xfId="0">
      <alignment vertical="top" wrapText="1"/>
    </xf>
    <xf numFmtId="0" fontId="3" fillId="0" borderId="0" pivotButton="0" quotePrefix="0" xfId="0"/>
    <xf numFmtId="0" fontId="0" fillId="0" borderId="0" applyAlignment="1" pivotButton="0" quotePrefix="0" xfId="0">
      <alignment vertical="top"/>
    </xf>
    <xf numFmtId="0" fontId="21" fillId="0" borderId="0" applyAlignment="1" pivotButton="0" quotePrefix="0" xfId="0">
      <alignment vertical="center" wrapText="1"/>
    </xf>
    <xf numFmtId="0" fontId="0" fillId="0" borderId="0" applyAlignment="1" pivotButton="0" quotePrefix="0" xfId="0">
      <alignment horizontal="left" vertical="top" wrapText="1"/>
    </xf>
    <xf numFmtId="0" fontId="15" fillId="0" borderId="0" applyAlignment="1" pivotButton="0" quotePrefix="0" xfId="0">
      <alignment vertical="center" wrapText="1"/>
    </xf>
    <xf numFmtId="0" fontId="17" fillId="0" borderId="0" applyAlignment="1" pivotButton="0" quotePrefix="0" xfId="1">
      <alignment vertical="center" wrapText="1"/>
    </xf>
    <xf numFmtId="0" fontId="10" fillId="0" borderId="0" applyAlignment="1" pivotButton="0" quotePrefix="0" xfId="0">
      <alignment horizontal="center" vertical="center" wrapText="1"/>
    </xf>
    <xf numFmtId="0" fontId="23" fillId="0" borderId="0" applyAlignment="1" pivotButton="0" quotePrefix="0" xfId="0">
      <alignment vertical="center" wrapText="1"/>
    </xf>
    <xf numFmtId="0" fontId="18" fillId="0" borderId="0" applyAlignment="1" pivotButton="0" quotePrefix="0" xfId="0">
      <alignment horizontal="center" vertical="center" wrapText="1"/>
    </xf>
    <xf numFmtId="0" fontId="24" fillId="0" borderId="0" applyAlignment="1" pivotButton="0" quotePrefix="0" xfId="0">
      <alignment vertical="center" wrapText="1"/>
    </xf>
    <xf numFmtId="0" fontId="26" fillId="0" borderId="0" applyAlignment="1" pivotButton="0" quotePrefix="0" xfId="0">
      <alignment vertical="center"/>
    </xf>
    <xf numFmtId="0" fontId="26" fillId="0" borderId="0" applyAlignment="1" pivotButton="0" quotePrefix="0" xfId="0">
      <alignment vertical="center" wrapText="1"/>
    </xf>
    <xf numFmtId="0" fontId="27" fillId="0" borderId="0" applyAlignment="1" pivotButton="0" quotePrefix="0" xfId="0">
      <alignment horizontal="center" vertical="center" wrapText="1"/>
    </xf>
    <xf numFmtId="0" fontId="27" fillId="0" borderId="0" applyAlignment="1" pivotButton="0" quotePrefix="0" xfId="0">
      <alignment vertical="center" wrapText="1"/>
    </xf>
    <xf numFmtId="0" fontId="28" fillId="0" borderId="0" applyAlignment="1" pivotButton="0" quotePrefix="0" xfId="0">
      <alignment vertical="center" wrapText="1"/>
    </xf>
    <xf numFmtId="0" fontId="29" fillId="0" borderId="0" applyAlignment="1" pivotButton="0" quotePrefix="0" xfId="0">
      <alignment vertical="center" wrapText="1"/>
    </xf>
    <xf numFmtId="0" fontId="3" fillId="0" borderId="16" applyAlignment="1" pivotButton="0" quotePrefix="0" xfId="0">
      <alignment horizontal="center" vertical="center" wrapText="1"/>
    </xf>
    <xf numFmtId="0" fontId="2" fillId="0" borderId="0" pivotButton="0" quotePrefix="0" xfId="0"/>
    <xf numFmtId="0" fontId="2" fillId="0" borderId="0" applyAlignment="1" pivotButton="0" quotePrefix="0" xfId="0">
      <alignment wrapText="1"/>
    </xf>
    <xf numFmtId="0" fontId="1" fillId="8" borderId="9" pivotButton="0" quotePrefix="0" xfId="0"/>
    <xf numFmtId="0" fontId="1" fillId="8" borderId="9" applyAlignment="1" pivotButton="0" quotePrefix="0" xfId="0">
      <alignment wrapText="1"/>
    </xf>
    <xf numFmtId="0" fontId="1" fillId="8" borderId="10" pivotButton="0" quotePrefix="0" xfId="0"/>
    <xf numFmtId="0" fontId="1" fillId="8" borderId="0" pivotButton="0" quotePrefix="0" xfId="0"/>
    <xf numFmtId="0" fontId="1" fillId="8" borderId="0" applyAlignment="1" pivotButton="0" quotePrefix="0" xfId="0">
      <alignment wrapText="1"/>
    </xf>
    <xf numFmtId="0" fontId="1" fillId="8" borderId="12" pivotButton="0" quotePrefix="0" xfId="0"/>
    <xf numFmtId="0" fontId="1" fillId="7" borderId="9" pivotButton="0" quotePrefix="0" xfId="0"/>
    <xf numFmtId="0" fontId="1" fillId="7" borderId="9" applyAlignment="1" pivotButton="0" quotePrefix="0" xfId="0">
      <alignment wrapText="1"/>
    </xf>
    <xf numFmtId="0" fontId="1" fillId="7" borderId="10" pivotButton="0" quotePrefix="0" xfId="0"/>
    <xf numFmtId="0" fontId="1" fillId="7" borderId="0" pivotButton="0" quotePrefix="0" xfId="0"/>
    <xf numFmtId="0" fontId="1" fillId="7" borderId="0" applyAlignment="1" pivotButton="0" quotePrefix="0" xfId="0">
      <alignment wrapText="1"/>
    </xf>
    <xf numFmtId="0" fontId="1" fillId="7" borderId="12" pivotButton="0" quotePrefix="0" xfId="0"/>
    <xf numFmtId="0" fontId="1" fillId="7" borderId="14" pivotButton="0" quotePrefix="0" xfId="0"/>
    <xf numFmtId="0" fontId="1" fillId="7" borderId="14" applyAlignment="1" pivotButton="0" quotePrefix="0" xfId="0">
      <alignment wrapText="1"/>
    </xf>
    <xf numFmtId="0" fontId="1" fillId="7" borderId="15" pivotButton="0" quotePrefix="0" xfId="0"/>
    <xf numFmtId="0" fontId="2" fillId="3" borderId="0" applyAlignment="1" pivotButton="0" quotePrefix="0" xfId="0">
      <alignment vertical="center"/>
    </xf>
    <xf numFmtId="49" fontId="7" fillId="3" borderId="0" applyAlignment="1" pivotButton="0" quotePrefix="0" xfId="0">
      <alignment horizontal="center" vertical="center" wrapText="1"/>
    </xf>
    <xf numFmtId="49" fontId="30" fillId="0" borderId="1" applyAlignment="1" pivotButton="0" quotePrefix="0" xfId="0">
      <alignment horizontal="center" vertical="center" wrapText="1"/>
    </xf>
    <xf numFmtId="0" fontId="31" fillId="0" borderId="0" applyAlignment="1" pivotButton="0" quotePrefix="0" xfId="0">
      <alignment horizontal="center" vertical="center" wrapText="1"/>
    </xf>
    <xf numFmtId="0" fontId="15" fillId="0" borderId="0" applyAlignment="1" pivotButton="0" quotePrefix="0" xfId="0">
      <alignment horizontal="center" vertical="center" wrapText="1"/>
    </xf>
    <xf numFmtId="49" fontId="7" fillId="0" borderId="0" applyAlignment="1" pivotButton="0" quotePrefix="0" xfId="0">
      <alignment horizontal="center" vertical="center" wrapText="1"/>
    </xf>
    <xf numFmtId="0" fontId="0" fillId="0" borderId="0" applyAlignment="1" pivotButton="0" quotePrefix="0" xfId="0">
      <alignment horizontal="center"/>
    </xf>
    <xf numFmtId="0" fontId="0" fillId="0" borderId="0" applyAlignment="1" pivotButton="0" quotePrefix="0" xfId="0">
      <alignment horizontal="left"/>
    </xf>
    <xf numFmtId="0" fontId="12" fillId="0" borderId="0" applyAlignment="1" pivotButton="0" quotePrefix="0" xfId="0">
      <alignment horizontal="left"/>
    </xf>
    <xf numFmtId="0" fontId="3" fillId="0" borderId="0" applyAlignment="1" pivotButton="0" quotePrefix="0" xfId="0">
      <alignment horizontal="center"/>
    </xf>
    <xf numFmtId="0" fontId="3" fillId="0" borderId="0" applyAlignment="1" pivotButton="0" quotePrefix="0" xfId="0">
      <alignment horizontal="center" vertical="center"/>
    </xf>
    <xf numFmtId="0" fontId="23" fillId="0" borderId="0" applyAlignment="1" pivotButton="0" quotePrefix="0" xfId="0">
      <alignment horizontal="center" vertical="center" wrapText="1"/>
    </xf>
    <xf numFmtId="0" fontId="11" fillId="9" borderId="0" applyAlignment="1" pivotButton="0" quotePrefix="0" xfId="0">
      <alignment horizontal="center" vertical="center" wrapText="1"/>
    </xf>
    <xf numFmtId="0" fontId="11" fillId="9" borderId="0" applyAlignment="1" pivotButton="0" quotePrefix="0" xfId="0">
      <alignment vertical="center" wrapText="1"/>
    </xf>
    <xf numFmtId="0" fontId="11" fillId="9" borderId="0" applyAlignment="1" pivotButton="0" quotePrefix="0" xfId="0">
      <alignment vertical="top" wrapText="1"/>
    </xf>
    <xf numFmtId="0" fontId="1" fillId="9" borderId="0" applyAlignment="1" pivotButton="0" quotePrefix="0" xfId="0">
      <alignment vertical="center" wrapText="1"/>
    </xf>
    <xf numFmtId="49" fontId="11" fillId="9" borderId="0" applyAlignment="1" pivotButton="0" quotePrefix="0" xfId="0">
      <alignment horizontal="center" vertical="center" wrapText="1"/>
    </xf>
    <xf numFmtId="0" fontId="21" fillId="9" borderId="0" applyAlignment="1" pivotButton="0" quotePrefix="0" xfId="0">
      <alignment vertical="center" wrapText="1"/>
    </xf>
    <xf numFmtId="0" fontId="1" fillId="9" borderId="0" applyAlignment="1" pivotButton="0" quotePrefix="0" xfId="0">
      <alignment horizontal="center" vertical="center" wrapText="1"/>
    </xf>
    <xf numFmtId="0" fontId="1" fillId="8" borderId="0" applyAlignment="1" pivotButton="0" quotePrefix="0" xfId="0">
      <alignment vertical="center" wrapText="1"/>
    </xf>
    <xf numFmtId="0" fontId="3" fillId="0" borderId="0" applyAlignment="1" pivotButton="0" quotePrefix="0" xfId="0">
      <alignment horizontal="center" vertical="top"/>
    </xf>
    <xf numFmtId="0" fontId="3" fillId="0" borderId="0" applyAlignment="1" pivotButton="0" quotePrefix="0" xfId="0">
      <alignment horizontal="center" vertical="top" wrapText="1"/>
    </xf>
    <xf numFmtId="0" fontId="0" fillId="0" borderId="0" applyAlignment="1" pivotButton="0" quotePrefix="0" xfId="0">
      <alignment horizontal="center" vertical="top"/>
    </xf>
    <xf numFmtId="0" fontId="0" fillId="0" borderId="0" applyAlignment="1" pivotButton="0" quotePrefix="0" xfId="0">
      <alignment horizontal="center" vertical="top" wrapText="1"/>
    </xf>
    <xf numFmtId="0" fontId="24" fillId="0" borderId="0" applyAlignment="1" pivotButton="0" quotePrefix="0" xfId="0">
      <alignment horizontal="center" vertical="center"/>
    </xf>
    <xf numFmtId="0" fontId="9" fillId="0" borderId="0" applyAlignment="1" pivotButton="0" quotePrefix="0" xfId="0">
      <alignment horizontal="center" vertical="center" wrapText="1"/>
    </xf>
    <xf numFmtId="0" fontId="33" fillId="0" borderId="0" applyAlignment="1" pivotButton="0" quotePrefix="0" xfId="0">
      <alignment horizontal="center" vertical="center" wrapText="1"/>
    </xf>
    <xf numFmtId="0" fontId="33" fillId="0" borderId="0" applyAlignment="1" pivotButton="0" quotePrefix="0" xfId="0">
      <alignment horizontal="center" vertical="center"/>
    </xf>
    <xf numFmtId="0" fontId="9" fillId="0" borderId="0" applyAlignment="1" pivotButton="0" quotePrefix="0" xfId="1">
      <alignment vertical="center" wrapText="1"/>
    </xf>
    <xf numFmtId="0" fontId="32" fillId="0" borderId="0" applyAlignment="1" pivotButton="0" quotePrefix="0" xfId="0">
      <alignment vertical="center" wrapText="1"/>
    </xf>
    <xf numFmtId="0" fontId="15" fillId="0" borderId="0" applyAlignment="1" pivotButton="0" quotePrefix="0" xfId="0">
      <alignment wrapText="1"/>
    </xf>
    <xf numFmtId="0" fontId="3" fillId="0" borderId="0" applyAlignment="1" pivotButton="0" quotePrefix="0" xfId="0">
      <alignment wrapText="1"/>
    </xf>
    <xf numFmtId="0" fontId="1" fillId="0" borderId="0" applyAlignment="1" pivotButton="0" quotePrefix="0" xfId="0">
      <alignment horizontal="center" vertical="center"/>
    </xf>
    <xf numFmtId="0" fontId="24" fillId="0" borderId="0" applyAlignment="1" pivotButton="0" quotePrefix="0" xfId="0">
      <alignment horizontal="center"/>
    </xf>
    <xf numFmtId="0" fontId="0" fillId="0" borderId="0" applyAlignment="1" pivotButton="0" quotePrefix="0" xfId="0">
      <alignment horizontal="left" vertical="center" wrapText="1"/>
    </xf>
    <xf numFmtId="0" fontId="0" fillId="4" borderId="5" applyAlignment="1" pivotButton="0" quotePrefix="0" xfId="0">
      <alignment horizontal="left" vertical="center" wrapText="1"/>
    </xf>
    <xf numFmtId="0" fontId="0" fillId="0" borderId="5"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17" applyAlignment="1" pivotButton="0" quotePrefix="0" xfId="0">
      <alignment horizontal="left"/>
    </xf>
    <xf numFmtId="0" fontId="1" fillId="8" borderId="8" applyAlignment="1" pivotButton="0" quotePrefix="0" xfId="0">
      <alignment horizontal="center" vertical="center"/>
    </xf>
    <xf numFmtId="0" fontId="1" fillId="8" borderId="11" applyAlignment="1" pivotButton="0" quotePrefix="0" xfId="0">
      <alignment horizontal="center" vertical="center"/>
    </xf>
    <xf numFmtId="0" fontId="1" fillId="7" borderId="8" applyAlignment="1" pivotButton="0" quotePrefix="0" xfId="0">
      <alignment horizontal="center" vertical="center" wrapText="1"/>
    </xf>
    <xf numFmtId="0" fontId="1" fillId="7" borderId="11" applyAlignment="1" pivotButton="0" quotePrefix="0" xfId="0">
      <alignment horizontal="center" vertical="center" wrapText="1"/>
    </xf>
    <xf numFmtId="0" fontId="1" fillId="7" borderId="13" applyAlignment="1" pivotButton="0" quotePrefix="0" xfId="0">
      <alignment horizontal="center" vertical="center" wrapText="1"/>
    </xf>
    <xf numFmtId="0" fontId="18" fillId="0" borderId="0" applyAlignment="1" pivotButton="0" quotePrefix="0" xfId="0">
      <alignment horizontal="center" vertical="center" wrapText="1"/>
    </xf>
    <xf numFmtId="0" fontId="1" fillId="0" borderId="0"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5" fillId="0" borderId="1" applyAlignment="1" pivotButton="0" quotePrefix="0" xfId="0">
      <alignment horizontal="center" vertical="top"/>
    </xf>
    <xf numFmtId="0" fontId="3" fillId="0" borderId="1" applyAlignment="1" pivotButton="0" quotePrefix="0" xfId="0">
      <alignment horizontal="center" vertical="top"/>
    </xf>
    <xf numFmtId="0" fontId="0" fillId="0" borderId="11" pivotButton="0" quotePrefix="0" xfId="0"/>
    <xf numFmtId="0" fontId="1" fillId="7" borderId="18" applyAlignment="1" pivotButton="0" quotePrefix="0" xfId="0">
      <alignment horizontal="center" vertical="center" wrapText="1"/>
    </xf>
    <xf numFmtId="0" fontId="0" fillId="0" borderId="13" pivotButton="0" quotePrefix="0" xfId="0"/>
    <xf numFmtId="0" fontId="33" fillId="0" borderId="0" pivotButton="0" quotePrefix="0" xfId="0"/>
    <xf numFmtId="0" fontId="0" fillId="0" borderId="20" pivotButton="0" quotePrefix="0" xfId="0"/>
    <xf numFmtId="0" fontId="0" fillId="0" borderId="21" pivotButton="0" quotePrefix="0" xfId="0"/>
  </cellXfs>
  <cellStyles count="2">
    <cellStyle name="Normal" xfId="0" builtinId="0"/>
    <cellStyle name="Hyperlink" xfId="1" builtinId="8"/>
  </cellStyles>
  <dxfs count="34">
    <dxf>
      <font>
        <i val="1"/>
        <color theme="0" tint="-0.499984740745262"/>
      </font>
      <fill>
        <patternFill>
          <bgColor theme="0" tint="-0.0499893185216834"/>
        </patternFill>
      </fill>
      <border>
        <left style="thin">
          <color auto="1"/>
        </left>
        <right style="thin">
          <color auto="1"/>
        </right>
        <top style="thin">
          <color auto="1"/>
        </top>
        <bottom style="thin">
          <color auto="1"/>
        </bottom>
      </border>
    </dxf>
    <dxf>
      <font>
        <color rgb="FF00B050"/>
      </font>
      <fill>
        <patternFill>
          <bgColor theme="6" tint="0.7999816888943144"/>
        </patternFill>
      </fill>
      <border>
        <left style="thin">
          <color auto="1"/>
        </left>
        <right style="thin">
          <color auto="1"/>
        </right>
        <top style="thin">
          <color auto="1"/>
        </top>
        <bottom style="thin">
          <color auto="1"/>
        </bottom>
      </border>
    </dxf>
    <dxf>
      <font>
        <i val="1"/>
        <color rgb="FF7030A0"/>
      </font>
    </dxf>
    <dxf>
      <font>
        <i val="1"/>
        <color theme="6"/>
      </font>
    </dxf>
    <dxf>
      <font>
        <color rgb="FF00B050"/>
      </font>
      <fill>
        <patternFill>
          <bgColor theme="6" tint="0.7999816888943144"/>
        </patternFill>
      </fill>
      <border>
        <left style="thin">
          <color auto="1"/>
        </left>
        <right style="thin">
          <color auto="1"/>
        </right>
        <top style="thin">
          <color auto="1"/>
        </top>
        <bottom style="thin">
          <color auto="1"/>
        </bottom>
      </border>
    </dxf>
    <dxf>
      <font>
        <i val="1"/>
        <color rgb="FF7030A0"/>
      </font>
    </dxf>
    <dxf>
      <font>
        <i val="1"/>
        <color theme="6"/>
      </font>
    </dxf>
    <dxf>
      <font>
        <color rgb="FF00B050"/>
      </font>
      <fill>
        <patternFill>
          <bgColor theme="6" tint="0.7999816888943144"/>
        </patternFill>
      </fill>
      <border>
        <left style="thin">
          <color auto="1"/>
        </left>
        <right style="thin">
          <color auto="1"/>
        </right>
        <top style="thin">
          <color auto="1"/>
        </top>
        <bottom style="thin">
          <color auto="1"/>
        </bottom>
      </border>
    </dxf>
    <dxf>
      <font>
        <i val="1"/>
        <color rgb="FF7030A0"/>
      </font>
    </dxf>
    <dxf>
      <font>
        <i val="1"/>
        <color theme="6"/>
      </font>
    </dxf>
    <dxf>
      <font>
        <color rgb="FF00B050"/>
      </font>
      <fill>
        <patternFill>
          <bgColor theme="6" tint="0.7999816888943144"/>
        </patternFill>
      </fill>
      <border>
        <left style="thin">
          <color auto="1"/>
        </left>
        <right style="thin">
          <color auto="1"/>
        </right>
        <top style="thin">
          <color auto="1"/>
        </top>
        <bottom style="thin">
          <color auto="1"/>
        </bottom>
      </border>
    </dxf>
    <dxf>
      <font>
        <i val="1"/>
        <color rgb="FF7030A0"/>
      </font>
    </dxf>
    <dxf>
      <font>
        <i val="1"/>
        <color theme="6"/>
      </font>
    </dxf>
    <dxf>
      <font>
        <color rgb="FF00B050"/>
      </font>
      <fill>
        <patternFill>
          <bgColor theme="6" tint="0.7999816888943144"/>
        </patternFill>
      </fill>
      <border>
        <left style="thin">
          <color auto="1"/>
        </left>
        <right style="thin">
          <color auto="1"/>
        </right>
        <top style="thin">
          <color auto="1"/>
        </top>
        <bottom style="thin">
          <color auto="1"/>
        </bottom>
      </border>
    </dxf>
    <dxf>
      <font>
        <i val="1"/>
        <color rgb="FF7030A0"/>
      </font>
    </dxf>
    <dxf>
      <font>
        <i val="1"/>
        <color theme="6"/>
      </font>
    </dxf>
    <dxf>
      <font>
        <color rgb="FF00B050"/>
      </font>
      <fill>
        <patternFill>
          <bgColor theme="6" tint="0.7999816888943144"/>
        </patternFill>
      </fill>
      <border>
        <left style="thin">
          <color auto="1"/>
        </left>
        <right style="thin">
          <color auto="1"/>
        </right>
        <top style="thin">
          <color auto="1"/>
        </top>
        <bottom style="thin">
          <color auto="1"/>
        </bottom>
      </border>
    </dxf>
    <dxf>
      <font>
        <i val="1"/>
        <color rgb="FF7030A0"/>
      </font>
    </dxf>
    <dxf>
      <font>
        <i val="1"/>
        <color theme="6"/>
      </font>
    </dxf>
    <dxf>
      <font>
        <color rgb="FF00B050"/>
      </font>
      <fill>
        <patternFill>
          <bgColor theme="6" tint="0.7999816888943144"/>
        </patternFill>
      </fill>
      <border>
        <left style="thin">
          <color auto="1"/>
        </left>
        <right style="thin">
          <color auto="1"/>
        </right>
        <top style="thin">
          <color auto="1"/>
        </top>
        <bottom style="thin">
          <color auto="1"/>
        </bottom>
      </border>
    </dxf>
    <dxf>
      <font>
        <i val="1"/>
        <color rgb="FF7030A0"/>
      </font>
    </dxf>
    <dxf>
      <font>
        <i val="1"/>
        <color theme="6"/>
      </font>
    </dxf>
    <dxf>
      <font>
        <color rgb="FF00B050"/>
      </font>
      <fill>
        <patternFill>
          <bgColor theme="6" tint="0.7999816888943144"/>
        </patternFill>
      </fill>
      <border>
        <left style="thin">
          <color auto="1"/>
        </left>
        <right style="thin">
          <color auto="1"/>
        </right>
        <top style="thin">
          <color auto="1"/>
        </top>
        <bottom style="thin">
          <color auto="1"/>
        </bottom>
      </border>
    </dxf>
    <dxf>
      <font>
        <i val="1"/>
        <color rgb="FF7030A0"/>
      </font>
    </dxf>
    <dxf>
      <font>
        <i val="1"/>
        <color theme="6"/>
      </font>
    </dxf>
    <dxf>
      <font>
        <color rgb="FF00B050"/>
      </font>
      <fill>
        <patternFill>
          <bgColor theme="6" tint="0.7999816888943144"/>
        </patternFill>
      </fill>
      <border>
        <left style="thin">
          <color auto="1"/>
        </left>
        <right style="thin">
          <color auto="1"/>
        </right>
        <top style="thin">
          <color auto="1"/>
        </top>
        <bottom style="thin">
          <color auto="1"/>
        </bottom>
      </border>
    </dxf>
    <dxf>
      <font>
        <i val="1"/>
        <color rgb="FF7030A0"/>
      </font>
    </dxf>
    <dxf>
      <font>
        <i val="1"/>
        <color theme="6"/>
      </font>
    </dxf>
    <dxf>
      <font>
        <color rgb="FF00B050"/>
      </font>
      <fill>
        <patternFill>
          <bgColor theme="6" tint="0.7999816888943144"/>
        </patternFill>
      </fill>
      <border>
        <left style="thin">
          <color auto="1"/>
        </left>
        <right style="thin">
          <color auto="1"/>
        </right>
        <top style="thin">
          <color auto="1"/>
        </top>
        <bottom style="thin">
          <color auto="1"/>
        </bottom>
      </border>
    </dxf>
    <dxf>
      <font>
        <i val="1"/>
        <color rgb="FF7030A0"/>
      </font>
    </dxf>
    <dxf>
      <font>
        <i val="1"/>
        <color theme="6"/>
      </font>
    </dxf>
    <dxf>
      <font>
        <color rgb="FF00B050"/>
      </font>
      <fill>
        <patternFill>
          <bgColor theme="6" tint="0.7999816888943144"/>
        </patternFill>
      </fill>
      <border>
        <left style="thin">
          <color auto="1"/>
        </left>
        <right style="thin">
          <color auto="1"/>
        </right>
        <top style="thin">
          <color auto="1"/>
        </top>
        <bottom style="thin">
          <color auto="1"/>
        </bottom>
      </border>
    </dxf>
    <dxf>
      <font>
        <i val="1"/>
        <color rgb="FF7030A0"/>
      </font>
    </dxf>
    <dxf>
      <font>
        <i val="1"/>
        <color theme="6"/>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filterMode="1">
    <outlinePr summaryBelow="1" summaryRight="1"/>
    <pageSetUpPr/>
  </sheetPr>
  <dimension ref="A1:T20"/>
  <sheetViews>
    <sheetView zoomScale="175" zoomScaleNormal="175" workbookViewId="0">
      <pane ySplit="2" topLeftCell="A100" activePane="bottomLeft" state="frozen"/>
      <selection pane="bottomLeft" activeCell="C161" sqref="C161"/>
    </sheetView>
  </sheetViews>
  <sheetFormatPr baseColWidth="8" defaultColWidth="8.7109375" defaultRowHeight="13.5" customHeight="1"/>
  <cols>
    <col width="11.140625" customWidth="1" style="30" min="1" max="1"/>
    <col width="6.5703125" customWidth="1" style="29" min="2" max="2"/>
    <col width="13.42578125" customWidth="1" style="29" min="3" max="3"/>
    <col width="18.140625" customWidth="1" style="29" min="4" max="4"/>
    <col width="8.28515625" customWidth="1" style="30" min="5" max="5"/>
    <col width="12.28515625" customWidth="1" style="119" min="6" max="6"/>
    <col width="19" customWidth="1" style="30" min="7" max="7"/>
    <col width="24.5703125" customWidth="1" style="29" min="8" max="8"/>
    <col width="19.7109375" customWidth="1" style="29" min="9" max="9"/>
    <col hidden="1" width="39.5703125" customWidth="1" style="29" min="10" max="10"/>
    <col width="102.5703125" customWidth="1" style="29" min="11" max="11"/>
    <col width="52.140625" customWidth="1" style="29" min="12" max="12"/>
    <col width="38.42578125" customWidth="1" style="29" min="13" max="13"/>
    <col width="22.5703125" customWidth="1" style="29" min="14" max="14"/>
    <col width="15.28515625" customWidth="1" style="6" min="15" max="20"/>
    <col width="8.7109375" customWidth="1" style="6" min="21" max="16384"/>
  </cols>
  <sheetData>
    <row r="1" customFormat="1" s="9">
      <c r="A1" s="12" t="inlineStr">
        <is>
          <t>PRODUCT BACKLOG - RELEASE 2026.4 UTILIZATION REPORT (rows to paste into Backlog sheet, replacing the 2026.4 placeholder row)</t>
        </is>
      </c>
      <c r="E1" s="10" t="n"/>
      <c r="F1" s="115" t="n"/>
      <c r="G1" s="10" t="n"/>
    </row>
    <row r="2" ht="23.25" customFormat="1" customHeight="1" s="13">
      <c r="A2" s="14" t="inlineStr">
        <is>
          <t>Release No</t>
        </is>
      </c>
      <c r="B2" s="14" t="inlineStr">
        <is>
          <t>Feature No</t>
        </is>
      </c>
      <c r="C2" s="14" t="inlineStr">
        <is>
          <t>Feature</t>
        </is>
      </c>
      <c r="D2" s="14" t="inlineStr">
        <is>
          <t>Process</t>
        </is>
      </c>
      <c r="E2" s="14" t="inlineStr">
        <is>
          <t>User Story No</t>
        </is>
      </c>
      <c r="F2" s="116" t="inlineStr">
        <is>
          <t>ADO No</t>
        </is>
      </c>
      <c r="G2" s="14" t="inlineStr">
        <is>
          <t>User
(As a…)</t>
        </is>
      </c>
      <c r="H2" s="14" t="inlineStr">
        <is>
          <t>Action/ Function
(I want to…)</t>
        </is>
      </c>
      <c r="I2" s="14" t="inlineStr">
        <is>
          <t>Goal/ Benefit
(So that…)</t>
        </is>
      </c>
      <c r="J2" s="14" t="inlineStr">
        <is>
          <t>User Story</t>
        </is>
      </c>
      <c r="K2" s="14" t="inlineStr">
        <is>
          <t>Acceptance Criteria</t>
        </is>
      </c>
      <c r="L2" s="14" t="inlineStr">
        <is>
          <t>References</t>
        </is>
      </c>
      <c r="M2" s="14" t="inlineStr">
        <is>
          <t>Remarks</t>
        </is>
      </c>
      <c r="N2" s="14" t="inlineStr">
        <is>
          <t>Status</t>
        </is>
      </c>
      <c r="O2" s="16" t="inlineStr">
        <is>
          <t>DEV Effort (BackEnd)</t>
        </is>
      </c>
      <c r="P2" s="16" t="inlineStr">
        <is>
          <t>DEV Effort (FrontEnd)</t>
        </is>
      </c>
      <c r="Q2" s="16" t="inlineStr">
        <is>
          <t>Unit Testing Effort</t>
        </is>
      </c>
      <c r="R2" s="16" t="inlineStr">
        <is>
          <t>QA Effort</t>
        </is>
      </c>
      <c r="S2" s="16" t="inlineStr">
        <is>
          <t>Infra Effort</t>
        </is>
      </c>
      <c r="T2" s="16" t="inlineStr">
        <is>
          <t>Total Efforts</t>
        </is>
      </c>
    </row>
    <row r="3" hidden="1" ht="25.5" customFormat="1" customHeight="1" s="29">
      <c r="A3" s="30" t="inlineStr">
        <is>
          <t>2026.4</t>
        </is>
      </c>
      <c r="B3" s="29" t="inlineStr">
        <is>
          <t>26.4.00</t>
        </is>
      </c>
      <c r="C3" s="29" t="inlineStr">
        <is>
          <t>Access &amp; Navigation</t>
        </is>
      </c>
      <c r="D3" s="29" t="inlineStr">
        <is>
          <t>Report Access</t>
        </is>
      </c>
      <c r="E3" s="30" t="n">
        <v>1</v>
      </c>
      <c r="F3" s="167" t="n"/>
      <c r="G3" s="30" t="inlineStr">
        <is>
          <t>RAC Member</t>
        </is>
      </c>
      <c r="H3" s="29" t="inlineStr">
        <is>
          <t>Access the EDRMS Utilization Report and move between its dashboards</t>
        </is>
      </c>
      <c r="I3" s="29" t="inlineStr">
        <is>
          <t>I can monitor EDRMS utilization from one place</t>
        </is>
      </c>
      <c r="J3" s="167">
        <f>"As a "&amp;G3&amp;", I want to "&amp;H3&amp;" so that "&amp;I3</f>
        <v/>
      </c>
      <c r="K3" s="29" t="inlineStr">
        <is>
          <t>1. The user can open the EDRMS Utilization Report page using ADB credentials
2. The report opens on the Bank-wide Oversight dashboard by default
3. The user can switch between the Bank-wide Oversight and Department Insights dashboards using the dashboard navigation
4. The user can see the date the data was last refreshed on every dashboard
5. A user without access to the report receives an access denied message and no figures are shown</t>
        </is>
      </c>
      <c r="L3" s="167" t="inlineStr">
        <is>
          <t>1. RAC Decision Summary (21 Sep 2026)
2. Prototype: https://perezfiles01-droid.github.io/Jim/</t>
        </is>
      </c>
      <c r="M3" s="167" t="inlineStr">
        <is>
          <t>For ADB Confirmation: which security group(s) grant access to the report</t>
        </is>
      </c>
      <c r="N3" s="167" t="inlineStr">
        <is>
          <t>For Review</t>
        </is>
      </c>
      <c r="O3" s="167" t="n"/>
      <c r="P3" s="167" t="n"/>
      <c r="Q3" s="167" t="n"/>
      <c r="R3" s="167" t="n"/>
      <c r="S3" s="167" t="n"/>
      <c r="T3" s="167" t="n"/>
    </row>
    <row r="4" hidden="1" ht="315" customHeight="1">
      <c r="A4" s="30" t="inlineStr">
        <is>
          <t>2026.4</t>
        </is>
      </c>
      <c r="B4" s="29" t="inlineStr">
        <is>
          <t>26.4.01</t>
        </is>
      </c>
      <c r="C4" s="29" t="inlineStr">
        <is>
          <t>Bank-wide Oversight - Top Panel</t>
        </is>
      </c>
      <c r="D4" s="29" t="inlineStr">
        <is>
          <t>Bank-wide KPIs</t>
        </is>
      </c>
      <c r="E4" s="30" t="n">
        <v>2</v>
      </c>
      <c r="F4" s="167" t="n"/>
      <c r="G4" s="30" t="inlineStr">
        <is>
          <t>RAC Member</t>
        </is>
      </c>
      <c r="H4" s="29" t="inlineStr">
        <is>
          <t>View the Bank-wide top panel figures</t>
        </is>
      </c>
      <c r="I4" s="29" t="inlineStr">
        <is>
          <t>I can see the overall state of EDRMS adoption at a glance</t>
        </is>
      </c>
      <c r="J4" s="167">
        <f>"As a "&amp;G4&amp;", I want to "&amp;H4&amp;" so that "&amp;I4</f>
        <v/>
      </c>
      <c r="K4" s="29" t="inlineStr">
        <is>
          <t>1. TOP PANEL TILES:
   1.1 Number of active EDRMS SharePoint sites: one bank-wide count of active Department, Office, RM and RO sites (BW #1)
   1.2 Total number of EDRMS users: rounded headcount for context, not an exact user count (BW #2)
   1.3 Total number of documents in EDRMS: documents in EDRMS-compliant sites, declared or not, each counted once (BW #3)
   1.4 Total number of records declared in EDRMS (BW #4)
   1.5 Institutional File Plan insights navigation tile (BW #8)
2. Each tile that opens a breakdown is clickable, and the breakdown total equals the tile value
3. Each tile shows an info (i) icon describing what is counted
GLOBAL RULES (apply to every figure):
   - Counts are limited to EDRMS-compliant sites, counted once per site, and exclude project sites and non-EDRMS sites
   - Organizational grouping is Department / Office / RM / RO only. Division is not used anywhere</t>
        </is>
      </c>
      <c r="L4" s="167" t="inlineStr">
        <is>
          <t>1. RAC Decision Summary: BW #1, #2, #3, #4, #8</t>
        </is>
      </c>
      <c r="M4" s="167" t="inlineStr">
        <is>
          <t>BW #1 depends on backfilled Department / Office / RM / RO site metadata.
BW #8 target dashboard is not in 2026.4 scope: tile is shown as a future link</t>
        </is>
      </c>
      <c r="N4" s="167" t="inlineStr">
        <is>
          <t>For Review</t>
        </is>
      </c>
      <c r="O4" s="167" t="n"/>
      <c r="P4" s="167" t="n"/>
      <c r="Q4" s="167" t="n"/>
      <c r="R4" s="167" t="n"/>
      <c r="S4" s="167" t="n"/>
      <c r="T4" s="167" t="n"/>
    </row>
    <row r="5" hidden="1" ht="75.75" customHeight="1">
      <c r="A5" s="30" t="inlineStr">
        <is>
          <t>2026.4</t>
        </is>
      </c>
      <c r="B5" s="29" t="inlineStr">
        <is>
          <t>26.4.02</t>
        </is>
      </c>
      <c r="C5" s="29" t="inlineStr">
        <is>
          <t>Bank-wide Oversight - Overview of EDRMS Sites</t>
        </is>
      </c>
      <c r="D5" s="29" t="inlineStr">
        <is>
          <t>Site Overview</t>
        </is>
      </c>
      <c r="E5" s="30" t="n">
        <v>3</v>
      </c>
      <c r="F5" s="167" t="n"/>
      <c r="G5" s="30" t="inlineStr">
        <is>
          <t>RAC Member</t>
        </is>
      </c>
      <c r="H5" s="29" t="inlineStr">
        <is>
          <t>View the overview of EDRMS sites by Department / Office / RM / RO</t>
        </is>
      </c>
      <c r="I5" s="29" t="inlineStr">
        <is>
          <t>I can compare site adoption across organizational units</t>
        </is>
      </c>
      <c r="J5" s="167">
        <f>"As a "&amp;G5&amp;", I want to "&amp;H5&amp;" so that "&amp;I5</f>
        <v/>
      </c>
      <c r="K5" s="29" t="inlineStr">
        <is>
          <t>1. The user can see the total number of EDRMS SharePoint sites (BW #12)
2. The user can see the sites grouped by Department / Office / RM / RO regardless of physical location (BW #11)
3. The sum of the grouped counts equals the total number of EDRMS sites
4. The user can sort the table by any column
GLOBAL RULES (apply to every figure):
   - Counts are limited to EDRMS-compliant sites, counted once per site, and exclude project sites and non-EDRMS sites
   - Organizational grouping is Department / Office / RM / RO only. Division is not used anywhere</t>
        </is>
      </c>
      <c r="L5" s="167" t="inlineStr">
        <is>
          <t>1. RAC Decision Summary: BW #11, #12</t>
        </is>
      </c>
      <c r="M5" s="167" t="inlineStr">
        <is>
          <t>For AvePoint confirmation: how 'applies to all same columns' (BW #11) is implemented</t>
        </is>
      </c>
      <c r="N5" s="167" t="inlineStr">
        <is>
          <t>For Review</t>
        </is>
      </c>
      <c r="O5" s="167" t="n"/>
      <c r="P5" s="167" t="n"/>
      <c r="Q5" s="167" t="n"/>
      <c r="R5" s="167" t="n"/>
      <c r="S5" s="167" t="n"/>
      <c r="T5" s="167" t="n"/>
    </row>
    <row r="6" hidden="1" ht="75.75" customFormat="1" customHeight="1" s="29">
      <c r="A6" s="30" t="inlineStr">
        <is>
          <t>2026.4</t>
        </is>
      </c>
      <c r="B6" s="29" t="inlineStr">
        <is>
          <t>26.4.03</t>
        </is>
      </c>
      <c r="C6" s="29" t="inlineStr">
        <is>
          <t>Bank-wide Oversight - Users</t>
        </is>
      </c>
      <c r="D6" s="29" t="inlineStr">
        <is>
          <t>Training Compliance</t>
        </is>
      </c>
      <c r="E6" s="30" t="n">
        <v>4</v>
      </c>
      <c r="F6" s="167" t="n"/>
      <c r="G6" s="30" t="inlineStr">
        <is>
          <t>RAC Member</t>
        </is>
      </c>
      <c r="H6" s="29" t="inlineStr">
        <is>
          <t>View the completion of EDRMS training</t>
        </is>
      </c>
      <c r="I6" s="29" t="inlineStr">
        <is>
          <t>I can monitor compliance with EDRMS training requirements</t>
        </is>
      </c>
      <c r="J6" s="167">
        <f>"As a "&amp;G6&amp;", I want to "&amp;H6&amp;" so that "&amp;I6</f>
        <v/>
      </c>
      <c r="K6" s="29" t="inlineStr">
        <is>
          <t>1. The user can see the number and percentage of users who completed EDRMS training (BW #30)
2. Staff completion is sourced from Excellerate; contractor and consultant completion from the maintained completion list
3. The source and as-of date of the training data are displayed</t>
        </is>
      </c>
      <c r="L6" s="167" t="inlineStr">
        <is>
          <t>1. RAC Decision Summary: BW #30</t>
        </is>
      </c>
      <c r="M6" s="167" t="inlineStr">
        <is>
          <t>Manual updates until an automated source is integrated. For ADB Confirmation: location and update frequency of the contractor/consultant list</t>
        </is>
      </c>
      <c r="N6" s="167" t="inlineStr">
        <is>
          <t>For Review</t>
        </is>
      </c>
      <c r="O6" s="167" t="n"/>
      <c r="P6" s="167" t="n"/>
      <c r="Q6" s="167" t="n"/>
      <c r="R6" s="167" t="n"/>
      <c r="S6" s="167" t="n"/>
      <c r="T6" s="167" t="n"/>
    </row>
    <row r="7" hidden="1" ht="75.75" customFormat="1" customHeight="1" s="29">
      <c r="A7" s="30" t="inlineStr">
        <is>
          <t>2026.4</t>
        </is>
      </c>
      <c r="B7" s="29" t="inlineStr">
        <is>
          <t>26.4.04</t>
        </is>
      </c>
      <c r="C7" s="29" t="inlineStr">
        <is>
          <t>Bank-wide Oversight - Documents</t>
        </is>
      </c>
      <c r="D7" s="29" t="inlineStr">
        <is>
          <t>Document Activity</t>
        </is>
      </c>
      <c r="E7" s="30" t="n">
        <v>5</v>
      </c>
      <c r="F7" s="167" t="n"/>
      <c r="G7" s="30" t="inlineStr">
        <is>
          <t>RAC Member</t>
        </is>
      </c>
      <c r="H7" s="29" t="inlineStr">
        <is>
          <t>View document creation and storage growth</t>
        </is>
      </c>
      <c r="I7" s="29" t="inlineStr">
        <is>
          <t>I can see how much content is being added to EDRMS</t>
        </is>
      </c>
      <c r="J7" s="167">
        <f>"As a "&amp;G7&amp;", I want to "&amp;H7&amp;" so that "&amp;I7</f>
        <v/>
      </c>
      <c r="K7" s="29" t="inlineStr">
        <is>
          <t>1. The user can see the number of documents created / uploaded (BW #32)
2. The user can see the total documents added per period as a periodic trend, based on the document creation date. Growth percentage is not shown (BW #35)
3. The user can see the average monthly storage growth indicator (BW #36)
GLOBAL RULES (apply to every figure):
   - Counts are limited to EDRMS-compliant sites, counted once per site, and exclude project sites and non-EDRMS sites
   - Organizational grouping is Department / Office / RM / RO only. Division is not used anywhere</t>
        </is>
      </c>
      <c r="L7" s="167" t="inlineStr">
        <is>
          <t>1. RAC Decision Summary: BW #32, #35, #36</t>
        </is>
      </c>
      <c r="M7" s="167" t="inlineStr">
        <is>
          <t>BW #36 depends on BW #33 (storage size) being sourceable</t>
        </is>
      </c>
      <c r="N7" s="167" t="inlineStr">
        <is>
          <t>For Review</t>
        </is>
      </c>
      <c r="O7" s="167" t="n"/>
      <c r="P7" s="167" t="n"/>
      <c r="Q7" s="167" t="n"/>
      <c r="R7" s="167" t="n"/>
      <c r="S7" s="167" t="n"/>
      <c r="T7" s="167" t="n"/>
    </row>
    <row r="8" hidden="1" ht="63" customFormat="1" customHeight="1" s="29">
      <c r="A8" s="30" t="inlineStr">
        <is>
          <t>2026.4</t>
        </is>
      </c>
      <c r="B8" s="29" t="inlineStr">
        <is>
          <t>26.4.05</t>
        </is>
      </c>
      <c r="C8" s="29" t="inlineStr">
        <is>
          <t>Bank-wide Oversight - Records Declared</t>
        </is>
      </c>
      <c r="D8" s="29" t="inlineStr">
        <is>
          <t>Records Declaration</t>
        </is>
      </c>
      <c r="E8" s="30" t="n">
        <v>6</v>
      </c>
      <c r="F8" s="167" t="n"/>
      <c r="G8" s="30" t="inlineStr">
        <is>
          <t>RAC Member</t>
        </is>
      </c>
      <c r="H8" s="29" t="inlineStr">
        <is>
          <t>View records declaration figures</t>
        </is>
      </c>
      <c r="I8" s="29" t="inlineStr">
        <is>
          <t>I can measure how well staff declare records</t>
        </is>
      </c>
      <c r="J8" s="167">
        <f>"As a "&amp;G8&amp;", I want to "&amp;H8&amp;" so that "&amp;I8</f>
        <v/>
      </c>
      <c r="K8" s="29" t="inlineStr">
        <is>
          <t>1. The user can see the total number of records declared (BW #38, same figure as BW #4)
2. The user can see the total number of unique users declaring records (BW #39)
3. The user can see the declaration rate: records declared against documents in EDRMS (BW #41)
4. The total in this section equals the top panel 'Total number of records declared' tile</t>
        </is>
      </c>
      <c r="L8" s="167" t="inlineStr">
        <is>
          <t>1. RAC Decision Summary: BW #38, #39, #41</t>
        </is>
      </c>
      <c r="M8" s="167" t="inlineStr"/>
      <c r="N8" s="167" t="inlineStr">
        <is>
          <t>For Review</t>
        </is>
      </c>
      <c r="O8" s="167" t="n"/>
      <c r="P8" s="167" t="n"/>
      <c r="Q8" s="167" t="n"/>
      <c r="R8" s="167" t="n"/>
      <c r="S8" s="167" t="n"/>
      <c r="T8" s="167" t="n"/>
    </row>
    <row r="9" hidden="1" ht="100.5" customFormat="1" customHeight="1" s="29">
      <c r="A9" s="30" t="inlineStr">
        <is>
          <t>2026.4</t>
        </is>
      </c>
      <c r="B9" s="29" t="inlineStr">
        <is>
          <t>26.4.06</t>
        </is>
      </c>
      <c r="C9" s="29" t="inlineStr">
        <is>
          <t>Bank-wide Oversight - Physical Counterparts</t>
        </is>
      </c>
      <c r="D9" s="29" t="inlineStr">
        <is>
          <t>Physical Counterparts</t>
        </is>
      </c>
      <c r="E9" s="30" t="n">
        <v>7</v>
      </c>
      <c r="F9" s="167" t="n"/>
      <c r="G9" s="30" t="inlineStr">
        <is>
          <t>RAC Member</t>
        </is>
      </c>
      <c r="H9" s="29" t="inlineStr">
        <is>
          <t>View records declared with physical counterparts</t>
        </is>
      </c>
      <c r="I9" s="29" t="inlineStr">
        <is>
          <t>I can track physical records that must be submitted to RAC</t>
        </is>
      </c>
      <c r="J9" s="167">
        <f>"As a "&amp;G9&amp;", I want to "&amp;H9&amp;" so that "&amp;I9</f>
        <v/>
      </c>
      <c r="K9" s="29" t="inlineStr">
        <is>
          <t>1. The user can see the total number of physical records declared (BW #44)
2. The user can see the total number of users declaring records with physical counterparts (BW #45)
3. These figures are shown as a panel. The physical counterparts top tile is not shown (deferred)</t>
        </is>
      </c>
      <c r="L9" s="167" t="inlineStr">
        <is>
          <t>1. RAC Decision Summary: BW #44, #45</t>
        </is>
      </c>
      <c r="M9" s="167" t="inlineStr">
        <is>
          <t>BW #5 tile deferred</t>
        </is>
      </c>
      <c r="N9" s="167" t="inlineStr">
        <is>
          <t>For Review</t>
        </is>
      </c>
      <c r="O9" s="167" t="n"/>
      <c r="P9" s="167" t="n"/>
      <c r="Q9" s="167" t="n"/>
      <c r="R9" s="167" t="n"/>
      <c r="S9" s="167" t="n"/>
      <c r="T9" s="167" t="n"/>
    </row>
    <row r="10" hidden="1" ht="63" customFormat="1" customHeight="1" s="29">
      <c r="A10" s="30" t="inlineStr">
        <is>
          <t>2026.4</t>
        </is>
      </c>
      <c r="B10" s="29" t="inlineStr">
        <is>
          <t>26.4.07</t>
        </is>
      </c>
      <c r="C10" s="29" t="inlineStr">
        <is>
          <t>Bank-wide Oversight - Declaration Trend</t>
        </is>
      </c>
      <c r="D10" s="29" t="inlineStr">
        <is>
          <t>Trend &amp; Date Range</t>
        </is>
      </c>
      <c r="E10" s="30" t="n">
        <v>8</v>
      </c>
      <c r="F10" s="167" t="n"/>
      <c r="G10" s="30" t="inlineStr">
        <is>
          <t>RAC Member</t>
        </is>
      </c>
      <c r="H10" s="29" t="inlineStr">
        <is>
          <t>View the records declaration trend for a selected date range</t>
        </is>
      </c>
      <c r="I10" s="29" t="inlineStr">
        <is>
          <t>I can identify peak periods and year-on-year patterns</t>
        </is>
      </c>
      <c r="J10" s="167">
        <f>"As a "&amp;G10&amp;", I want to "&amp;H10&amp;" so that "&amp;I10</f>
        <v/>
      </c>
      <c r="K10" s="29" t="inlineStr">
        <is>
          <t>1. The user can see the cumulative bank-wide records declaration trend (BW #63)
2. DATE RANGE:
   2.1 The user can set From and To dates, or choose a preset range (BW #64)
   2.2 The count of records declared in range updates to the selected period
   2.3 A To date earlier than the From date is not accepted
3. The user can see the number of records declared per month for the selected period. No average is shown (BW #65)
4. The sum of the monthly counts equals the records declared in range</t>
        </is>
      </c>
      <c r="L10" s="167" t="inlineStr">
        <is>
          <t>1. RAC Decision Summary: BW #63, #64, #65</t>
        </is>
      </c>
      <c r="M10" s="167" t="inlineStr">
        <is>
          <t>For ADB Confirmation: list of preset ranges</t>
        </is>
      </c>
      <c r="N10" s="167" t="inlineStr">
        <is>
          <t>For Review</t>
        </is>
      </c>
      <c r="O10" s="167" t="n"/>
      <c r="P10" s="167" t="n"/>
      <c r="Q10" s="167" t="n"/>
      <c r="R10" s="167" t="n"/>
      <c r="S10" s="167" t="n"/>
      <c r="T10" s="167" t="n"/>
    </row>
    <row r="11" hidden="1" ht="50.25" customFormat="1" customHeight="1" s="29">
      <c r="A11" s="30" t="inlineStr">
        <is>
          <t>2026.4</t>
        </is>
      </c>
      <c r="B11" s="29" t="inlineStr">
        <is>
          <t>26.4.08</t>
        </is>
      </c>
      <c r="C11" s="29" t="inlineStr">
        <is>
          <t>Department Insights - Department Profile</t>
        </is>
      </c>
      <c r="D11" s="29" t="inlineStr">
        <is>
          <t>Department Selection</t>
        </is>
      </c>
      <c r="E11" s="30" t="n">
        <v>9</v>
      </c>
      <c r="F11" s="167" t="n"/>
      <c r="G11" s="30" t="inlineStr">
        <is>
          <t>RAC Member</t>
        </is>
      </c>
      <c r="H11" s="29" t="inlineStr">
        <is>
          <t>Select a Department / Office / RM / RO and view its profile</t>
        </is>
      </c>
      <c r="I11" s="29" t="inlineStr">
        <is>
          <t>I can review the EDRMS adoption of any organizational unit</t>
        </is>
      </c>
      <c r="J11" s="167">
        <f>"As a "&amp;G11&amp;", I want to "&amp;H11&amp;" so that "&amp;I11</f>
        <v/>
      </c>
      <c r="K11" s="29" t="inlineStr">
        <is>
          <t>1. The user can select a Department / Office / RM / RO from the picker, and the whole dashboard updates to that unit (DI #1)
2. TOP PANEL TILES (DI #2 to #7):
   2.1 Total number of sites created
   2.2 Total number of EDRMS users: rounded headcount of the unit for context
   2.3 Total number of documents in EDRMS
   2.4 Total number of records declared in EDRMS
   2.5 Total number of physical counterparts identified
3. Top panel tiles are clickable and open the matching section (DI #9)
4. The sum of a figure across all units equals the matching Bank-wide figure
GLOBAL RULES (apply to every figure):
   - Counts are limited to EDRMS-compliant sites, counted once per site, and exclude project sites and non-EDRMS sites
   - Organizational grouping is Department / Office / RM / RO only. Division is not used anywhere</t>
        </is>
      </c>
      <c r="L11" s="167" t="inlineStr">
        <is>
          <t>1. RAC Decision Summary: DI #1, #2, #3, #5, #6, #7, #9</t>
        </is>
      </c>
      <c r="M11" s="167" t="inlineStr">
        <is>
          <t>Depends on backfilled Department / Office / RM / RO site metadata</t>
        </is>
      </c>
      <c r="N11" s="167" t="inlineStr">
        <is>
          <t>For Review</t>
        </is>
      </c>
      <c r="O11" s="167" t="n"/>
      <c r="P11" s="167" t="n"/>
      <c r="Q11" s="167" t="n"/>
      <c r="R11" s="167" t="n"/>
      <c r="S11" s="167" t="n"/>
      <c r="T11" s="167" t="n"/>
    </row>
    <row r="12" hidden="1" ht="138.75" customHeight="1">
      <c r="A12" s="30" t="inlineStr">
        <is>
          <t>2026.4</t>
        </is>
      </c>
      <c r="B12" s="29" t="inlineStr">
        <is>
          <t>26.4.09</t>
        </is>
      </c>
      <c r="C12" s="29" t="inlineStr">
        <is>
          <t>Department Insights - Department Profile</t>
        </is>
      </c>
      <c r="D12" s="29" t="inlineStr">
        <is>
          <t>Department Scoped View</t>
        </is>
      </c>
      <c r="E12" s="30" t="n">
        <v>10</v>
      </c>
      <c r="F12" s="167" t="n"/>
      <c r="G12" s="30" t="inlineStr">
        <is>
          <t>Department Records Focal</t>
        </is>
      </c>
      <c r="H12" s="29" t="inlineStr">
        <is>
          <t>View the Department Insights of my own Department / Office / RM / RO</t>
        </is>
      </c>
      <c r="I12" s="29" t="inlineStr">
        <is>
          <t>I can monitor and improve my unit's records management</t>
        </is>
      </c>
      <c r="J12" s="167">
        <f>"As a "&amp;G12&amp;", I want to "&amp;H12&amp;" so that "&amp;I12</f>
        <v/>
      </c>
      <c r="K12" s="29" t="inlineStr">
        <is>
          <t>1. The user can open Department Insights and see the figures of their own Department / Office / RM / RO
2. The user sees the same sections and figures as a RAC Member for that unit
3. The user cannot select or view another unit's data</t>
        </is>
      </c>
      <c r="L12" s="167" t="inlineStr">
        <is>
          <t>1. RAC Decision Summary: DI #1</t>
        </is>
      </c>
      <c r="M12" s="167" t="inlineStr">
        <is>
          <t>For ADB Confirmation: whether non-RAC users are given access, and whether they are limited to their own unit</t>
        </is>
      </c>
      <c r="N12" s="167" t="inlineStr">
        <is>
          <t>For Review</t>
        </is>
      </c>
      <c r="O12" s="167" t="n"/>
      <c r="P12" s="167" t="n"/>
      <c r="Q12" s="167" t="n"/>
      <c r="R12" s="167" t="n"/>
      <c r="S12" s="167" t="n"/>
      <c r="T12" s="167" t="n"/>
    </row>
    <row r="13" hidden="1" ht="63" customHeight="1">
      <c r="A13" s="30" t="inlineStr">
        <is>
          <t>2026.4</t>
        </is>
      </c>
      <c r="B13" s="29" t="inlineStr">
        <is>
          <t>26.4.10</t>
        </is>
      </c>
      <c r="C13" s="29" t="inlineStr">
        <is>
          <t>Department Insights - Users and Activity</t>
        </is>
      </c>
      <c r="D13" s="29" t="inlineStr">
        <is>
          <t>User Activity</t>
        </is>
      </c>
      <c r="E13" s="30" t="n">
        <v>11</v>
      </c>
      <c r="F13" s="167" t="n"/>
      <c r="G13" s="30" t="inlineStr">
        <is>
          <t>RAC Member</t>
        </is>
      </c>
      <c r="H13" s="29" t="inlineStr">
        <is>
          <t>View active users and training completion for the selected unit</t>
        </is>
      </c>
      <c r="I13" s="29" t="inlineStr">
        <is>
          <t>I can see how actively the unit uses EDRMS</t>
        </is>
      </c>
      <c r="J13" s="167">
        <f>"As a "&amp;G13&amp;", I want to "&amp;H13&amp;" so that "&amp;I13</f>
        <v/>
      </c>
      <c r="K13" s="29" t="inlineStr">
        <is>
          <t>1. The user can see the total number of active users (DI #12)
2. The user can see the number of users who used EDRMS in the last 180 days (DI #13)
3. The user can see the training completion rate (%) for the selected grouping (DI #19)</t>
        </is>
      </c>
      <c r="L13" s="167" t="inlineStr">
        <is>
          <t>1. RAC Decision Summary: DI #12, #13, #19</t>
        </is>
      </c>
      <c r="M13" s="167" t="inlineStr">
        <is>
          <t>180 days is the longest window available from the Microsoft 365 activity report</t>
        </is>
      </c>
      <c r="N13" s="167" t="inlineStr">
        <is>
          <t>For Review</t>
        </is>
      </c>
      <c r="O13" s="167" t="n"/>
      <c r="P13" s="167" t="n"/>
      <c r="Q13" s="167" t="n"/>
      <c r="R13" s="167" t="n"/>
      <c r="S13" s="167" t="n"/>
      <c r="T13" s="167" t="n"/>
    </row>
    <row r="14" hidden="1" ht="38.25" customHeight="1">
      <c r="A14" s="30" t="inlineStr">
        <is>
          <t>2026.4</t>
        </is>
      </c>
      <c r="B14" s="29" t="inlineStr">
        <is>
          <t>26.4.11</t>
        </is>
      </c>
      <c r="C14" s="29" t="inlineStr">
        <is>
          <t>Department Insights - Overview of EDRMS Sites</t>
        </is>
      </c>
      <c r="D14" s="29" t="inlineStr">
        <is>
          <t>Site Overview</t>
        </is>
      </c>
      <c r="E14" s="30" t="n">
        <v>12</v>
      </c>
      <c r="F14" s="167" t="n"/>
      <c r="G14" s="30" t="inlineStr">
        <is>
          <t>RAC Member</t>
        </is>
      </c>
      <c r="H14" s="29" t="inlineStr">
        <is>
          <t>View the list of EDRMS sites of the selected unit</t>
        </is>
      </c>
      <c r="I14" s="29" t="inlineStr">
        <is>
          <t>I can see which sites hold the unit's documents and records</t>
        </is>
      </c>
      <c r="J14" s="167">
        <f>"As a "&amp;G14&amp;", I want to "&amp;H14&amp;" so that "&amp;I14</f>
        <v/>
      </c>
      <c r="K14" s="29" t="inlineStr">
        <is>
          <t>1. SUMMARY: total sites created, documents, records declared, and physical counterparts identified (DI #20 to #23)
2. SITES TABLE columns: Site name, Site owners, Number of documents, Number of records, Number of physical counterparts (DI #25 to #29)
3. The user can see sites inactive for 90 days, limited to EDRMS sites (BW #19, moved to Department Insights)
4. Table totals equal the summary figures
5. The user can sort the table and page through it</t>
        </is>
      </c>
      <c r="L14" s="167" t="inlineStr">
        <is>
          <t>1. RAC Decision Summary: DI #20 to #29; BW #19</t>
        </is>
      </c>
      <c r="M14" s="167" t="inlineStr"/>
      <c r="N14" s="167" t="inlineStr">
        <is>
          <t>For Review</t>
        </is>
      </c>
      <c r="O14" s="167" t="n"/>
      <c r="P14" s="167" t="n"/>
      <c r="Q14" s="167" t="n"/>
      <c r="R14" s="167" t="n"/>
      <c r="S14" s="167" t="n"/>
      <c r="T14" s="167" t="n"/>
    </row>
    <row r="15" hidden="1" ht="88.5" customHeight="1">
      <c r="A15" s="30" t="inlineStr">
        <is>
          <t>2026.4</t>
        </is>
      </c>
      <c r="B15" s="29" t="inlineStr">
        <is>
          <t>26.4.12</t>
        </is>
      </c>
      <c r="C15" s="29" t="inlineStr">
        <is>
          <t>Department Insights - Site Visits</t>
        </is>
      </c>
      <c r="D15" s="29" t="inlineStr">
        <is>
          <t>Site Visits</t>
        </is>
      </c>
      <c r="E15" s="30" t="n">
        <v>13</v>
      </c>
      <c r="F15" s="167" t="n"/>
      <c r="G15" s="30" t="inlineStr">
        <is>
          <t>RAC Member</t>
        </is>
      </c>
      <c r="H15" s="29" t="inlineStr">
        <is>
          <t>View site visits by site for the selected unit</t>
        </is>
      </c>
      <c r="I15" s="29" t="inlineStr">
        <is>
          <t>I can see how sites are used and by whom</t>
        </is>
      </c>
      <c r="J15" s="167">
        <f>"As a "&amp;G15&amp;", I want to "&amp;H15&amp;" so that "&amp;I15</f>
        <v/>
      </c>
      <c r="K15" s="29" t="inlineStr">
        <is>
          <t>1. The user can see the site visits table, by site (DI #32)
2. The user can see the EDRMS Site Type of each site (DI #38)
3. The user can see the number and percentage of internal and external visitors (DI #39, #40)
4. Internal + external visitors equal total visitors, and percentages add up to 100%</t>
        </is>
      </c>
      <c r="L15" s="167" t="inlineStr">
        <is>
          <t>1. RAC Decision Summary: DI #32, #38, #39, #40</t>
        </is>
      </c>
      <c r="M15" s="167" t="inlineStr">
        <is>
          <t>DI #39, #40 need a source that identifies a user as internal or external (Non-ADB)</t>
        </is>
      </c>
      <c r="N15" s="167" t="inlineStr">
        <is>
          <t>For Review</t>
        </is>
      </c>
      <c r="O15" s="167" t="n"/>
      <c r="P15" s="167" t="n"/>
      <c r="Q15" s="167" t="n"/>
      <c r="R15" s="167" t="n"/>
      <c r="S15" s="167" t="n"/>
      <c r="T15" s="167" t="n"/>
    </row>
    <row r="16" hidden="1" ht="88.5" customHeight="1">
      <c r="A16" s="30" t="inlineStr">
        <is>
          <t>2026.4</t>
        </is>
      </c>
      <c r="B16" s="29" t="inlineStr">
        <is>
          <t>26.4.13</t>
        </is>
      </c>
      <c r="C16" s="29" t="inlineStr">
        <is>
          <t>Department Insights - Documents</t>
        </is>
      </c>
      <c r="D16" s="29" t="inlineStr">
        <is>
          <t>Document Activity</t>
        </is>
      </c>
      <c r="E16" s="30" t="n">
        <v>14</v>
      </c>
      <c r="F16" s="167" t="n"/>
      <c r="G16" s="30" t="inlineStr">
        <is>
          <t>RAC Member</t>
        </is>
      </c>
      <c r="H16" s="29" t="inlineStr">
        <is>
          <t>View the documents of the selected unit</t>
        </is>
      </c>
      <c r="I16" s="29" t="inlineStr">
        <is>
          <t>I can see how much content the unit holds and creates</t>
        </is>
      </c>
      <c r="J16" s="167">
        <f>"As a "&amp;G16&amp;", I want to "&amp;H16&amp;" so that "&amp;I16</f>
        <v/>
      </c>
      <c r="K16" s="29" t="inlineStr">
        <is>
          <t>1. The user can see the number of documents created / uploaded (DI #43) and the EDRMS active sites (DI #44)
2. The user can see the total documents size and documents size in GB (DI #45, #48)
3. The user can see the document count per site as the breakdown of DI #43 (DI #46, #47)
4. The user can see the number of users creating documents (DI #49)
5. The sum of the per-site counts equals the documents created / uploaded figure</t>
        </is>
      </c>
      <c r="L16" s="167" t="inlineStr">
        <is>
          <t>1. RAC Decision Summary: DI #43 to #49</t>
        </is>
      </c>
      <c r="M16" s="167" t="inlineStr">
        <is>
          <t>DI #45, #48: if size is not feasible, item can be removed (RAC)</t>
        </is>
      </c>
      <c r="N16" s="167" t="inlineStr">
        <is>
          <t>For Review</t>
        </is>
      </c>
      <c r="O16" s="167" t="n"/>
      <c r="P16" s="167" t="n"/>
      <c r="Q16" s="167" t="n"/>
      <c r="R16" s="167" t="n"/>
      <c r="S16" s="167" t="n"/>
      <c r="T16" s="167" t="n"/>
    </row>
    <row r="17" hidden="1" ht="88.5" customHeight="1">
      <c r="A17" s="30" t="inlineStr">
        <is>
          <t>2026.4</t>
        </is>
      </c>
      <c r="B17" s="29" t="inlineStr">
        <is>
          <t>26.4.14</t>
        </is>
      </c>
      <c r="C17" s="29" t="inlineStr">
        <is>
          <t>Department Insights - Records Declaration</t>
        </is>
      </c>
      <c r="D17" s="29" t="inlineStr">
        <is>
          <t>Records Declaration</t>
        </is>
      </c>
      <c r="E17" s="30" t="n">
        <v>15</v>
      </c>
      <c r="F17" s="167" t="n"/>
      <c r="G17" s="30" t="inlineStr">
        <is>
          <t>RAC Member</t>
        </is>
      </c>
      <c r="H17" s="29" t="inlineStr">
        <is>
          <t>View records declaration of the selected unit</t>
        </is>
      </c>
      <c r="I17" s="29" t="inlineStr">
        <is>
          <t>I can identify where records are not being declared</t>
        </is>
      </c>
      <c r="J17" s="167">
        <f>"As a "&amp;G17&amp;", I want to "&amp;H17&amp;" so that "&amp;I17</f>
        <v/>
      </c>
      <c r="K17" s="29" t="inlineStr">
        <is>
          <t>1. The user can see the total number of records declared and users declaring records (DI #50, #51, #53, #54)
2. The user can see the sites with no declared record in 180 days (DI #52)
3. The user can see the total declared record size in GB (DI #55)
4. The user can see the number of records declared and unique declarers per Department / Office / RM / RO (DI #56, #57)</t>
        </is>
      </c>
      <c r="L17" s="167" t="inlineStr">
        <is>
          <t>1. RAC Decision Summary: DI #50 to #57</t>
        </is>
      </c>
      <c r="M17" s="167" t="inlineStr">
        <is>
          <t>DI #55: if size is not feasible, item can be removed (RAC)</t>
        </is>
      </c>
      <c r="N17" s="167" t="inlineStr">
        <is>
          <t>For Review</t>
        </is>
      </c>
      <c r="O17" s="167" t="n"/>
      <c r="P17" s="167" t="n"/>
      <c r="Q17" s="167" t="n"/>
      <c r="R17" s="167" t="n"/>
      <c r="S17" s="167" t="n"/>
      <c r="T17" s="167" t="n"/>
    </row>
    <row r="18" hidden="1" ht="88.5" customHeight="1">
      <c r="A18" s="30" t="inlineStr">
        <is>
          <t>2026.4</t>
        </is>
      </c>
      <c r="B18" s="29" t="inlineStr">
        <is>
          <t>26.4.15</t>
        </is>
      </c>
      <c r="C18" s="29" t="inlineStr">
        <is>
          <t>Department Insights - Physical Counterpart</t>
        </is>
      </c>
      <c r="D18" s="29" t="inlineStr">
        <is>
          <t>Physical Counterparts</t>
        </is>
      </c>
      <c r="E18" s="30" t="n">
        <v>16</v>
      </c>
      <c r="F18" s="167" t="n"/>
      <c r="G18" s="30" t="inlineStr">
        <is>
          <t>RAC Member</t>
        </is>
      </c>
      <c r="H18" s="29" t="inlineStr">
        <is>
          <t>View records with physical counterparts for the selected unit</t>
        </is>
      </c>
      <c r="I18" s="29" t="inlineStr">
        <is>
          <t>I can follow up physical records with the unit</t>
        </is>
      </c>
      <c r="J18" s="167">
        <f>"As a "&amp;G18&amp;", I want to "&amp;H18&amp;" so that "&amp;I18</f>
        <v/>
      </c>
      <c r="K18" s="29" t="inlineStr">
        <is>
          <t>1. The user can see records with a counterpart against total records declared (DI #58, #59)
2. The user can see records with a counterpart, by site (DI #60, #61)
3. The user can see the share (%) of records with a counterpart (DI #62)
4. Share = records with a counterpart / total records declared</t>
        </is>
      </c>
      <c r="L18" s="167" t="inlineStr">
        <is>
          <t>1. RAC Decision Summary: DI #58 to #62</t>
        </is>
      </c>
      <c r="M18" s="167" t="inlineStr"/>
      <c r="N18" s="167" t="inlineStr">
        <is>
          <t>For Review</t>
        </is>
      </c>
      <c r="O18" s="167" t="n"/>
      <c r="P18" s="167" t="n"/>
      <c r="Q18" s="167" t="n"/>
      <c r="R18" s="167" t="n"/>
      <c r="S18" s="167" t="n"/>
      <c r="T18" s="167" t="n"/>
    </row>
    <row r="19" hidden="1" ht="88.5" customHeight="1">
      <c r="A19" s="30" t="inlineStr">
        <is>
          <t>2026.4</t>
        </is>
      </c>
      <c r="B19" s="29" t="inlineStr">
        <is>
          <t>26.4.16</t>
        </is>
      </c>
      <c r="C19" s="29" t="inlineStr">
        <is>
          <t>Department Insights - Departmental Library Usage</t>
        </is>
      </c>
      <c r="D19" s="29" t="inlineStr">
        <is>
          <t>Library Usage</t>
        </is>
      </c>
      <c r="E19" s="30" t="n">
        <v>17</v>
      </c>
      <c r="F19" s="167" t="n"/>
      <c r="G19" s="30" t="inlineStr">
        <is>
          <t>RAC Member</t>
        </is>
      </c>
      <c r="H19" s="29" t="inlineStr">
        <is>
          <t>View library usage per File Plan category for the selected unit</t>
        </is>
      </c>
      <c r="I19" s="29" t="inlineStr">
        <is>
          <t>I can see whether the File Plan libraries are used</t>
        </is>
      </c>
      <c r="J19" s="167">
        <f>"As a "&amp;G19&amp;", I want to "&amp;H19&amp;" so that "&amp;I19</f>
        <v/>
      </c>
      <c r="K19" s="29" t="inlineStr">
        <is>
          <t>1. The user can see one row per File Plan category library with: Library name, Number of documents, Number of records declared, Number of physical counterparts, Number of users (DI #77 to #81)
2. Library totals do not exceed the unit totals</t>
        </is>
      </c>
      <c r="L19" s="167" t="inlineStr">
        <is>
          <t>1. RAC Decision Summary: DI #77 to #81</t>
        </is>
      </c>
      <c r="M19" s="167" t="inlineStr"/>
      <c r="N19" s="167" t="inlineStr">
        <is>
          <t>For Review</t>
        </is>
      </c>
      <c r="O19" s="167" t="n"/>
      <c r="P19" s="167" t="n"/>
      <c r="Q19" s="167" t="n"/>
      <c r="R19" s="167" t="n"/>
      <c r="S19" s="167" t="n"/>
      <c r="T19" s="167" t="n"/>
    </row>
    <row r="20" hidden="1" ht="88.5" customHeight="1">
      <c r="A20" s="30" t="inlineStr">
        <is>
          <t>2026.4</t>
        </is>
      </c>
      <c r="B20" s="29" t="inlineStr">
        <is>
          <t>26.4.17</t>
        </is>
      </c>
      <c r="C20" s="29" t="inlineStr">
        <is>
          <t>Reporting Database</t>
        </is>
      </c>
      <c r="D20" s="29" t="inlineStr">
        <is>
          <t>Database</t>
        </is>
      </c>
      <c r="E20" s="30" t="n">
        <v>18</v>
      </c>
      <c r="F20" s="167" t="n"/>
      <c r="G20" s="30" t="inlineStr">
        <is>
          <t>AskIT Member</t>
        </is>
      </c>
      <c r="H20" s="29" t="inlineStr">
        <is>
          <t>Access the reporting database and verify its tables and refresh</t>
        </is>
      </c>
      <c r="I20" s="29" t="inlineStr">
        <is>
          <t>I am able to check the correctness of the data behind the report</t>
        </is>
      </c>
      <c r="J20" s="167">
        <f>"As a "&amp;G20&amp;", I want to "&amp;H20&amp;" so that "&amp;I20</f>
        <v/>
      </c>
      <c r="K20" s="29" t="inlineStr">
        <is>
          <t>1. The user can connect to the reporting database
2. The user can query the four reporting tables: Utilization Report Table, Site Activity Table, User Activity Table, File Plan Table
3. The tables are refreshed weekly and the last refresh date matches the date shown on the report
4. Counts returned by query match the figures on the dashboards</t>
        </is>
      </c>
      <c r="L20" s="167" t="inlineStr">
        <is>
          <t>1. utilizationdb.md
2. EDRMS_Utilization_Report_Database_Design_v1.xlsx</t>
        </is>
      </c>
      <c r="M20" s="167" t="inlineStr">
        <is>
          <t>Table and column names to be confirmed against the final database build</t>
        </is>
      </c>
      <c r="N20" s="167" t="inlineStr">
        <is>
          <t>For Review</t>
        </is>
      </c>
      <c r="O20" s="167" t="n"/>
      <c r="P20" s="167" t="n"/>
      <c r="Q20" s="167" t="n"/>
      <c r="R20" s="167" t="n"/>
      <c r="S20" s="167" t="n"/>
      <c r="T20" s="167" t="n"/>
    </row>
    <row r="21" hidden="1" ht="56.25" customFormat="1" customHeight="1" s="29"/>
    <row r="22" hidden="1" ht="138.75" customFormat="1" customHeight="1" s="29"/>
    <row r="23" hidden="1" ht="63" customFormat="1" customHeight="1" s="29"/>
    <row r="24" hidden="1" ht="63" customFormat="1" customHeight="1" s="29"/>
    <row r="25" hidden="1" ht="150.75" customFormat="1" customHeight="1" s="29"/>
    <row r="26" hidden="1" ht="63" customFormat="1" customHeight="1" s="29"/>
    <row r="27" hidden="1" ht="75.75" customFormat="1" customHeight="1" s="29"/>
    <row r="28" hidden="1" ht="75.75" customFormat="1" customHeight="1" s="29"/>
    <row r="29" hidden="1" ht="150.75" customFormat="1" customHeight="1" s="29"/>
    <row r="30" hidden="1" ht="75.75" customFormat="1" customHeight="1" s="29"/>
    <row r="31" hidden="1" ht="150.75" customFormat="1" customHeight="1" s="29"/>
    <row r="32" hidden="1" ht="132" customFormat="1" customHeight="1" s="29"/>
    <row r="33" hidden="1" ht="141.75" customFormat="1" customHeight="1" s="29"/>
    <row r="34" hidden="1" ht="75.75" customFormat="1" customHeight="1" s="29"/>
    <row r="35" hidden="1" ht="75.75" customFormat="1" customHeight="1" s="29"/>
    <row r="36" hidden="1" ht="75.75" customFormat="1" customHeight="1" s="29"/>
    <row r="37" hidden="1" ht="75.75" customFormat="1" customHeight="1" s="29"/>
    <row r="38" hidden="1" ht="75.75" customFormat="1" customHeight="1" s="29"/>
    <row r="39" hidden="1" ht="75.75" customFormat="1" customHeight="1" s="29"/>
    <row r="40" hidden="1" ht="95.25" customFormat="1" customHeight="1" s="29"/>
    <row r="41" hidden="1" ht="127.5" customFormat="1" customHeight="1" s="29"/>
    <row r="42" hidden="1" ht="315" customHeight="1"/>
    <row r="43" hidden="1" ht="75.75" customHeight="1"/>
    <row r="44" hidden="1" ht="75.75" customFormat="1" customHeight="1" s="29"/>
    <row r="45" hidden="1" ht="75.75" customFormat="1" customHeight="1" s="29"/>
    <row r="46" hidden="1" ht="63" customFormat="1" customHeight="1" s="29"/>
    <row r="47" hidden="1" ht="100.5" customFormat="1" customHeight="1" s="29"/>
    <row r="48" hidden="1" ht="63" customFormat="1" customHeight="1" s="29"/>
    <row r="49" hidden="1" ht="50.25" customFormat="1" customHeight="1" s="29"/>
    <row r="50" hidden="1" ht="50.25" customFormat="1" customHeight="1" s="29"/>
    <row r="51" hidden="1" ht="138.75" customHeight="1"/>
    <row r="52" hidden="1" ht="63" customHeight="1"/>
    <row r="53" hidden="1" ht="50.25" customHeight="1"/>
    <row r="54" hidden="1" ht="50.25" customHeight="1"/>
    <row r="55" ht="25.5" customHeight="1"/>
    <row r="56" ht="223.5" customHeight="1"/>
    <row r="57" ht="400.5" customHeight="1"/>
    <row r="58" ht="405.75" customHeight="1"/>
    <row r="59" ht="327" customHeight="1"/>
    <row r="60" ht="114" customHeight="1"/>
    <row r="61" ht="114" customHeight="1"/>
    <row r="62" ht="243.75" customHeight="1"/>
    <row r="63" ht="243.75" customHeight="1"/>
    <row r="64" ht="98.25" customHeight="1"/>
    <row r="65" ht="98.25" customHeight="1"/>
    <row r="66" ht="258" customHeight="1"/>
    <row r="67" ht="75.75" customHeight="1"/>
    <row r="68" ht="242.25" customHeight="1"/>
    <row r="69" ht="165.75" customHeight="1"/>
    <row r="70" ht="150" customHeight="1"/>
    <row r="71" ht="119.25" customHeight="1"/>
    <row r="72" ht="132.75" customHeight="1"/>
    <row r="73" ht="125.25" customHeight="1"/>
    <row r="74" ht="132.75" customHeight="1"/>
    <row r="75" ht="132.75" customHeight="1"/>
    <row r="76" ht="162" customHeight="1"/>
    <row r="77" ht="169.5" customHeight="1"/>
    <row r="78" ht="130.5" customHeight="1"/>
    <row r="79" ht="114" customHeight="1"/>
    <row r="80" ht="161.25" customHeight="1"/>
    <row r="81" ht="167.25" customHeight="1"/>
    <row r="82" ht="145.5" customHeight="1"/>
    <row r="83" ht="88.5" customHeight="1"/>
    <row r="84" ht="88.5" customHeight="1"/>
    <row r="85" ht="163.5" customFormat="1" customHeight="1" s="28"/>
    <row r="86" ht="88.5" customFormat="1" customHeight="1" s="28"/>
    <row r="87" ht="88.5" customFormat="1" customHeight="1" s="28"/>
    <row r="88" ht="88.5" customFormat="1" customHeight="1" s="28"/>
    <row r="89" ht="168" customHeight="1"/>
    <row r="90" ht="137.25" customHeight="1"/>
    <row r="91" ht="81" customHeight="1"/>
    <row r="92" ht="95.25" customHeight="1"/>
    <row r="93" ht="137.25" customHeight="1"/>
    <row r="94" ht="136.5" customHeight="1"/>
    <row r="95" ht="38.25" customHeight="1"/>
    <row r="96" ht="315" customHeight="1"/>
    <row r="97" ht="138.75" customHeight="1"/>
    <row r="98" ht="75.75" customHeight="1"/>
    <row r="99" ht="75.75" customHeight="1"/>
    <row r="100" ht="150.75" customHeight="1"/>
    <row r="101" ht="75.75" customHeight="1"/>
    <row r="102" hidden="1" ht="25.5" customHeight="1"/>
    <row r="103" hidden="1" ht="50.25" customHeight="1"/>
    <row r="104" hidden="1" ht="352.5" customHeight="1"/>
    <row r="105" hidden="1" ht="409.5" customHeight="1"/>
    <row r="106" hidden="1" ht="50.25" customHeight="1"/>
    <row r="107" hidden="1" ht="264.75" customHeight="1"/>
    <row r="108" hidden="1" ht="286.5" customHeight="1"/>
    <row r="109" hidden="1" ht="315.75" customHeight="1"/>
    <row r="110" hidden="1" ht="316.5" customHeight="1"/>
    <row r="111" hidden="1" ht="128.25" customHeight="1"/>
    <row r="112" hidden="1" ht="60.75" customHeight="1"/>
    <row r="113" hidden="1" ht="113.25" customHeight="1"/>
    <row r="114" hidden="1" ht="63" customHeight="1"/>
    <row r="115" hidden="1" ht="50.25" customHeight="1"/>
    <row r="116" hidden="1" ht="63" customHeight="1"/>
    <row r="117" hidden="1" ht="38.25" customHeight="1"/>
    <row r="118" hidden="1" ht="50.25" customHeight="1"/>
    <row r="119" hidden="1" ht="88.5" customHeight="1"/>
    <row r="120" hidden="1" ht="62.25" customHeight="1"/>
    <row r="121" hidden="1" ht="94.5" customHeight="1"/>
    <row r="122" hidden="1" ht="50.25" customHeight="1"/>
    <row r="123" hidden="1" ht="75.75" customHeight="1"/>
    <row r="124" hidden="1" ht="60.75" customHeight="1"/>
    <row r="125" hidden="1" ht="89.25" customHeight="1"/>
    <row r="126" hidden="1" ht="74.25" customHeight="1"/>
    <row r="127" hidden="1" ht="137.25" customHeight="1"/>
    <row r="128" hidden="1" ht="74.25" customHeight="1"/>
    <row r="129" hidden="1" ht="90" customHeight="1"/>
    <row r="130" hidden="1" ht="74.25" customHeight="1"/>
    <row r="131" hidden="1" ht="74.25" customHeight="1"/>
    <row r="132" hidden="1" ht="74.25" customHeight="1"/>
    <row r="133" hidden="1" ht="77.25" customHeight="1"/>
    <row r="134" hidden="1" ht="81.75" customHeight="1"/>
    <row r="135" hidden="1" ht="102" customHeight="1"/>
    <row r="136" hidden="1" ht="74.25" customHeight="1"/>
    <row r="137" hidden="1" ht="85.5" customHeight="1"/>
    <row r="138" hidden="1" ht="74.25" customHeight="1"/>
    <row r="139" hidden="1" ht="74.25" customHeight="1"/>
    <row r="140" hidden="1" ht="74.25" customHeight="1"/>
    <row r="141" hidden="1" ht="75.75" customHeight="1"/>
    <row r="142" hidden="1" ht="63" customHeight="1"/>
    <row r="143" hidden="1" ht="113.25" customHeight="1"/>
    <row r="144" hidden="1" ht="63" customHeight="1"/>
    <row r="145" hidden="1" ht="75.75" customHeight="1"/>
    <row r="146" hidden="1" ht="75.75" customHeight="1"/>
  </sheetData>
  <autoFilter ref="A2:T20">
    <filterColumn colId="0" hiddenButton="0" showButton="1">
      <filters>
        <filter val="2026.2"/>
      </filters>
    </filterColumn>
  </autoFilter>
  <conditionalFormatting sqref="A3:T103 A104:A146 A147:T513 B104:D110 B111:B118 B117:D117 B118:C118 B119:D130 B131:C142 B143:D146 D111:D116 D133:D137 D139:D142 E104:T146">
    <cfRule type="expression" priority="1" dxfId="3">
      <formula>$N3="Regression"</formula>
    </cfRule>
    <cfRule type="expression" priority="2" dxfId="2">
      <formula>$N3="Enhancement"</formula>
    </cfRule>
    <cfRule type="expression" priority="3" dxfId="1">
      <formula>$N3="Released"</formula>
    </cfRule>
  </conditionalFormatting>
  <conditionalFormatting sqref="C111:C112 C116">
    <cfRule type="expression" priority="71" dxfId="3">
      <formula>$N110="Regression"</formula>
    </cfRule>
    <cfRule type="expression" priority="72" dxfId="2">
      <formula>$N110="Enhancement"</formula>
    </cfRule>
    <cfRule type="expression" priority="73" dxfId="1">
      <formula>$N110="Released"</formula>
    </cfRule>
  </conditionalFormatting>
  <conditionalFormatting sqref="C113:C115">
    <cfRule type="expression" priority="77" dxfId="3">
      <formula>$N111="Regression"</formula>
    </cfRule>
    <cfRule type="expression" priority="78" dxfId="2">
      <formula>$N111="Enhancement"</formula>
    </cfRule>
    <cfRule type="expression" priority="79" dxfId="1">
      <formula>$N111="Released"</formula>
    </cfRule>
  </conditionalFormatting>
  <conditionalFormatting sqref="A85:I88 K85:L85 O85:T85 R87:T88 S86:T86">
    <cfRule type="expression" priority="56" dxfId="3">
      <formula>#REF!="Regression"</formula>
    </cfRule>
    <cfRule type="expression" priority="57" dxfId="2">
      <formula>#REF!="Enhancement"</formula>
    </cfRule>
    <cfRule type="expression" priority="58" dxfId="1">
      <formula>#REF!="Released"</formula>
    </cfRule>
  </conditionalFormatting>
  <conditionalFormatting sqref="O87:Q88">
    <cfRule type="expression" priority="13" dxfId="3">
      <formula>$N87="Regression"</formula>
    </cfRule>
    <cfRule type="expression" priority="14" dxfId="2">
      <formula>$N87="Enhancement"</formula>
    </cfRule>
    <cfRule type="expression" priority="15" dxfId="1">
      <formula>$N87="Released"</formula>
    </cfRule>
  </conditionalFormatting>
  <conditionalFormatting sqref="O86:R86">
    <cfRule type="expression" priority="37" dxfId="3">
      <formula>$N86="Regression"</formula>
    </cfRule>
    <cfRule type="expression" priority="38" dxfId="2">
      <formula>$N86="Enhancement"</formula>
    </cfRule>
    <cfRule type="expression" priority="39" dxfId="1">
      <formula>$N86="Released"</formula>
    </cfRule>
  </conditionalFormatting>
  <pageMargins left="0.7" right="0.7" top="0.75" bottom="0.75" header="0.3" footer="0.3"/>
  <pageSetup orientation="portrait" horizontalDpi="4294967293" verticalDpi="0"/>
  <headerFooter>
    <oddHeader/>
    <oddFooter>&amp;C&amp;"Aptos"&amp;8 &amp;K000000_x000d_# INTERNAL. This information is accessible to ADB Management and Staff. It may be shared outside ADB with appropriate permission.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Ryan Evangelista</dc:creator>
  <dcterms:created xmlns:dcterms="http://purl.org/dc/terms/" xmlns:xsi="http://www.w3.org/2001/XMLSchema-instance" xsi:type="dcterms:W3CDTF">2025-10-23T08:16:39Z</dcterms:created>
  <dcterms:modified xmlns:dcterms="http://purl.org/dc/terms/" xmlns:xsi="http://www.w3.org/2001/XMLSchema-instance" xsi:type="dcterms:W3CDTF">2026-10-19T01:20:55Z</dcterms:modified>
  <cp:lastModifiedBy>Jimwyl Perez</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0x010100BB987C5E842407458A00E5F1E23BC833000D55B2048826264A885F6B4B33DCCFFE</vt:lpwstr>
  </property>
  <property name="MediaServiceImageTags" fmtid="{D5CDD505-2E9C-101B-9397-08002B2CF9AE}" pid="3">
    <vt:lpwstr xmlns:vt="http://schemas.openxmlformats.org/officeDocument/2006/docPropsVTypes"/>
  </property>
  <property name="MSIP_Label_817d4574-7375-4d17-b29c-6e4c6df0fcb0_Enabled" fmtid="{D5CDD505-2E9C-101B-9397-08002B2CF9AE}" pid="4">
    <vt:lpwstr xmlns:vt="http://schemas.openxmlformats.org/officeDocument/2006/docPropsVTypes">true</vt:lpwstr>
  </property>
  <property name="MSIP_Label_817d4574-7375-4d17-b29c-6e4c6df0fcb0_SetDate" fmtid="{D5CDD505-2E9C-101B-9397-08002B2CF9AE}" pid="5">
    <vt:lpwstr xmlns:vt="http://schemas.openxmlformats.org/officeDocument/2006/docPropsVTypes">2025-10-31T08:29:39Z</vt:lpwstr>
  </property>
  <property name="MSIP_Label_817d4574-7375-4d17-b29c-6e4c6df0fcb0_Method" fmtid="{D5CDD505-2E9C-101B-9397-08002B2CF9AE}" pid="6">
    <vt:lpwstr xmlns:vt="http://schemas.openxmlformats.org/officeDocument/2006/docPropsVTypes">Standard</vt:lpwstr>
  </property>
  <property name="MSIP_Label_817d4574-7375-4d17-b29c-6e4c6df0fcb0_Name" fmtid="{D5CDD505-2E9C-101B-9397-08002B2CF9AE}" pid="7">
    <vt:lpwstr xmlns:vt="http://schemas.openxmlformats.org/officeDocument/2006/docPropsVTypes">ADB Internal</vt:lpwstr>
  </property>
  <property name="MSIP_Label_817d4574-7375-4d17-b29c-6e4c6df0fcb0_SiteId" fmtid="{D5CDD505-2E9C-101B-9397-08002B2CF9AE}" pid="8">
    <vt:lpwstr xmlns:vt="http://schemas.openxmlformats.org/officeDocument/2006/docPropsVTypes">9495d6bb-41c2-4c58-848f-92e52cf3d640</vt:lpwstr>
  </property>
  <property name="MSIP_Label_817d4574-7375-4d17-b29c-6e4c6df0fcb0_ActionId" fmtid="{D5CDD505-2E9C-101B-9397-08002B2CF9AE}" pid="9">
    <vt:lpwstr xmlns:vt="http://schemas.openxmlformats.org/officeDocument/2006/docPropsVTypes">1d668add-14f7-4d56-b439-a3f634501154</vt:lpwstr>
  </property>
  <property name="MSIP_Label_817d4574-7375-4d17-b29c-6e4c6df0fcb0_ContentBits" fmtid="{D5CDD505-2E9C-101B-9397-08002B2CF9AE}" pid="10">
    <vt:lpwstr xmlns:vt="http://schemas.openxmlformats.org/officeDocument/2006/docPropsVTypes">2</vt:lpwstr>
  </property>
  <property name="MSIP_Label_817d4574-7375-4d17-b29c-6e4c6df0fcb0_Tag" fmtid="{D5CDD505-2E9C-101B-9397-08002B2CF9AE}" pid="11">
    <vt:lpwstr xmlns:vt="http://schemas.openxmlformats.org/officeDocument/2006/docPropsVTypes">10, 3, 0, 2</vt:lpwstr>
  </property>
  <property name="ADBSector" fmtid="{D5CDD505-2E9C-101B-9397-08002B2CF9AE}" pid="12">
    <vt:lpwstr xmlns:vt="http://schemas.openxmlformats.org/officeDocument/2006/docPropsVTypes"/>
  </property>
  <property name="ADBDocumentLanguage" fmtid="{D5CDD505-2E9C-101B-9397-08002B2CF9AE}" pid="13">
    <vt:lpwstr xmlns:vt="http://schemas.openxmlformats.org/officeDocument/2006/docPropsVTypes">1;#English|16ac8743-31bb-43f8-9a73-533a041667d6</vt:lpwstr>
  </property>
  <property name="ADBDocumentType" fmtid="{D5CDD505-2E9C-101B-9397-08002B2CF9AE}" pid="14">
    <vt:lpwstr xmlns:vt="http://schemas.openxmlformats.org/officeDocument/2006/docPropsVTypes"/>
  </property>
  <property name="ADBDepartmentOwner" fmtid="{D5CDD505-2E9C-101B-9397-08002B2CF9AE}" pid="15">
    <vt:lpwstr xmlns:vt="http://schemas.openxmlformats.org/officeDocument/2006/docPropsVTypes"/>
  </property>
  <property name="ADBCountry" fmtid="{D5CDD505-2E9C-101B-9397-08002B2CF9AE}" pid="16">
    <vt:lpwstr xmlns:vt="http://schemas.openxmlformats.org/officeDocument/2006/docPropsVTypes"/>
  </property>
  <property name="ADBContentGroup" fmtid="{D5CDD505-2E9C-101B-9397-08002B2CF9AE}" pid="17">
    <vt:lpwstr xmlns:vt="http://schemas.openxmlformats.org/officeDocument/2006/docPropsVTypes"/>
  </property>
  <property name="ADBDivision" fmtid="{D5CDD505-2E9C-101B-9397-08002B2CF9AE}" pid="18">
    <vt:lpwstr xmlns:vt="http://schemas.openxmlformats.org/officeDocument/2006/docPropsVTypes"/>
  </property>
  <property name="ADBDocumentSecurity" fmtid="{D5CDD505-2E9C-101B-9397-08002B2CF9AE}" pid="19">
    <vt:lpwstr xmlns:vt="http://schemas.openxmlformats.org/officeDocument/2006/docPropsVTypes"/>
  </property>
</Properties>
</file>