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Test tenant findings" sheetId="2" state="visible" r:id="rId2"/>
    <sheet name="KPIs and Diagrams" sheetId="3" state="visible" r:id="rId3"/>
    <sheet name="Database columns" sheetId="4" state="visible" r:id="rId4"/>
    <sheet name="Gaps and actions" sheetId="5" state="visible" r:id="rId5"/>
    <sheet name="Decisions needed" sheetId="6" state="visible" r:id="rId6"/>
  </sheets>
  <definedNames>
    <definedName name="_xlnm._FilterDatabase" localSheetId="2" hidden="1">'KPIs and Diagrams'!$A$4:$M$56</definedName>
    <definedName name="_xlnm._FilterDatabase" localSheetId="3" hidden="1">'Database columns'!$A$4:$I$62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E1F35"/>
      <sz val="14"/>
    </font>
    <font>
      <name val="Arial"/>
      <i val="1"/>
      <color rgb="005B6B7C"/>
      <sz val="10"/>
    </font>
    <font>
      <name val="Arial"/>
      <sz val="9"/>
    </font>
    <font>
      <name val="Arial"/>
      <b val="1"/>
      <sz val="10"/>
    </font>
    <font>
      <name val="Arial"/>
      <sz val="10"/>
    </font>
    <font>
      <name val="Consolas"/>
      <sz val="9"/>
    </font>
    <font>
      <name val="Arial"/>
      <b val="1"/>
      <color rgb="00FFFFFF"/>
      <sz val="10"/>
    </font>
  </fonts>
  <fills count="10">
    <fill>
      <patternFill/>
    </fill>
    <fill>
      <patternFill patternType="gray125"/>
    </fill>
    <fill>
      <patternFill patternType="solid">
        <fgColor rgb="00F3F7FB"/>
      </patternFill>
    </fill>
    <fill>
      <patternFill patternType="solid">
        <fgColor rgb="00E7F4E2"/>
      </patternFill>
    </fill>
    <fill>
      <patternFill patternType="solid">
        <fgColor rgb="00FDF1E7"/>
      </patternFill>
    </fill>
    <fill>
      <patternFill patternType="solid">
        <fgColor rgb="00FBE9E9"/>
      </patternFill>
    </fill>
    <fill>
      <patternFill patternType="solid">
        <fgColor rgb="00F0F2F5"/>
      </patternFill>
    </fill>
    <fill>
      <patternFill patternType="solid">
        <fgColor rgb="00EAF1F8"/>
      </patternFill>
    </fill>
    <fill>
      <patternFill patternType="solid">
        <fgColor rgb="000E1F35"/>
      </patternFill>
    </fill>
    <fill>
      <patternFill patternType="solid">
        <fgColor rgb="00FFFF00"/>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40">
    <xf numFmtId="0" fontId="0" fillId="0" borderId="0" pivotButton="0" quotePrefix="0" xfId="0"/>
    <xf numFmtId="0" fontId="1" fillId="0" borderId="0" applyAlignment="1" pivotButton="0" quotePrefix="0" xfId="0">
      <alignment horizontal="left" vertical="top"/>
    </xf>
    <xf numFmtId="0" fontId="2" fillId="0" borderId="0" applyAlignment="1" pivotButton="0" quotePrefix="0" xfId="0">
      <alignment horizontal="left" vertical="top"/>
    </xf>
    <xf numFmtId="0" fontId="3" fillId="0" borderId="0" applyAlignment="1" pivotButton="0" quotePrefix="0" xfId="0">
      <alignment horizontal="left" vertical="top"/>
    </xf>
    <xf numFmtId="0" fontId="4" fillId="0" borderId="0" applyAlignment="1" pivotButton="0" quotePrefix="0" xfId="0">
      <alignment horizontal="left" vertical="top"/>
    </xf>
    <xf numFmtId="0" fontId="5" fillId="0" borderId="0" applyAlignment="1" pivotButton="0" quotePrefix="0" xfId="0">
      <alignment horizontal="left" vertical="top"/>
    </xf>
    <xf numFmtId="0" fontId="4" fillId="2" borderId="1" applyAlignment="1" pivotButton="0" quotePrefix="0" xfId="0">
      <alignment horizontal="left" vertical="top"/>
    </xf>
    <xf numFmtId="0" fontId="6" fillId="0" borderId="1" applyAlignment="1" pivotButton="0" quotePrefix="0" xfId="0">
      <alignment horizontal="left" vertical="top"/>
    </xf>
    <xf numFmtId="0" fontId="5" fillId="0" borderId="1" applyAlignment="1" pivotButton="0" quotePrefix="0" xfId="0">
      <alignment horizontal="left" vertical="top"/>
    </xf>
    <xf numFmtId="0" fontId="5" fillId="0" borderId="1" applyAlignment="1" pivotButton="0" quotePrefix="0" xfId="0">
      <alignment horizontal="left" vertical="top" wrapText="1"/>
    </xf>
    <xf numFmtId="0" fontId="5" fillId="3" borderId="1" applyAlignment="1" pivotButton="0" quotePrefix="0" xfId="0">
      <alignment horizontal="left" vertical="top"/>
    </xf>
    <xf numFmtId="0" fontId="4" fillId="0" borderId="1" applyAlignment="1" pivotButton="0" quotePrefix="0" xfId="0">
      <alignment horizontal="center"/>
    </xf>
    <xf numFmtId="0" fontId="5" fillId="4" borderId="1" applyAlignment="1" pivotButton="0" quotePrefix="0" xfId="0">
      <alignment horizontal="left" vertical="top"/>
    </xf>
    <xf numFmtId="0" fontId="5" fillId="5" borderId="1" applyAlignment="1" pivotButton="0" quotePrefix="0" xfId="0">
      <alignment horizontal="left" vertical="top"/>
    </xf>
    <xf numFmtId="0" fontId="5" fillId="6" borderId="1" applyAlignment="1" pivotButton="0" quotePrefix="0" xfId="0">
      <alignment horizontal="left" vertical="top"/>
    </xf>
    <xf numFmtId="0" fontId="4" fillId="7" borderId="1" applyAlignment="1" pivotButton="0" quotePrefix="0" xfId="0">
      <alignment horizontal="left" vertical="top"/>
    </xf>
    <xf numFmtId="0" fontId="4" fillId="7" borderId="1" applyAlignment="1" pivotButton="0" quotePrefix="0" xfId="0">
      <alignment horizontal="center"/>
    </xf>
    <xf numFmtId="0" fontId="5" fillId="7" borderId="1" applyAlignment="1" pivotButton="0" quotePrefix="0" xfId="0">
      <alignment horizontal="left" vertical="top"/>
    </xf>
    <xf numFmtId="0" fontId="4" fillId="0" borderId="1" applyAlignment="1" pivotButton="0" quotePrefix="0" xfId="0">
      <alignment horizontal="left" vertical="top"/>
    </xf>
    <xf numFmtId="0" fontId="1" fillId="0" borderId="0" pivotButton="0" quotePrefix="0" xfId="0"/>
    <xf numFmtId="0" fontId="2" fillId="0" borderId="0" pivotButton="0" quotePrefix="0" xfId="0"/>
    <xf numFmtId="0" fontId="7" fillId="8" borderId="1" applyAlignment="1" pivotButton="0" quotePrefix="0" xfId="0">
      <alignment horizontal="left" vertical="bottom" wrapText="1"/>
    </xf>
    <xf numFmtId="0" fontId="4" fillId="0" borderId="1" applyAlignment="1" pivotButton="0" quotePrefix="0" xfId="0">
      <alignment horizontal="left" vertical="top" wrapText="1"/>
    </xf>
    <xf numFmtId="0" fontId="5" fillId="3"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left" vertical="top" wrapText="1"/>
    </xf>
    <xf numFmtId="0" fontId="4" fillId="0" borderId="0" pivotButton="0" quotePrefix="0" xfId="0"/>
    <xf numFmtId="0" fontId="5" fillId="0" borderId="0" pivotButton="0" quotePrefix="0" xfId="0"/>
    <xf numFmtId="0" fontId="5" fillId="7" borderId="1" applyAlignment="1" pivotButton="0" quotePrefix="0" xfId="0">
      <alignment horizontal="left" vertical="top" wrapText="1"/>
    </xf>
    <xf numFmtId="0" fontId="4" fillId="7" borderId="1" applyAlignment="1" pivotButton="0" quotePrefix="0" xfId="0">
      <alignment horizontal="left" vertical="top" wrapText="1"/>
    </xf>
    <xf numFmtId="0" fontId="6" fillId="0" borderId="1" applyAlignment="1" pivotButton="0" quotePrefix="0" xfId="0">
      <alignment horizontal="left" vertical="top" wrapText="1"/>
    </xf>
    <xf numFmtId="0" fontId="5" fillId="6"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top"/>
    </xf>
    <xf numFmtId="0" fontId="4" fillId="4" borderId="1" applyAlignment="1" pivotButton="0" quotePrefix="0" xfId="0">
      <alignment horizontal="left" vertical="top" wrapText="1"/>
    </xf>
    <xf numFmtId="0" fontId="5" fillId="0" borderId="0" applyAlignment="1" pivotButton="0" quotePrefix="0" xfId="0">
      <alignment vertical="top" wrapText="1"/>
    </xf>
    <xf numFmtId="0" fontId="4" fillId="0" borderId="1"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0" fontId="0" fillId="9"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48"/>
  <sheetViews>
    <sheetView showGridLines="0" workbookViewId="0">
      <selection activeCell="A1" sqref="A1"/>
    </sheetView>
  </sheetViews>
  <sheetFormatPr baseColWidth="8" defaultRowHeight="15"/>
  <cols>
    <col width="3" customWidth="1" min="1" max="1"/>
    <col width="34" customWidth="1" min="2" max="2"/>
    <col width="14" customWidth="1" min="3" max="3"/>
    <col width="95" customWidth="1" min="4" max="4"/>
  </cols>
  <sheetData>
    <row r="2">
      <c r="B2" s="1" t="inlineStr">
        <is>
          <t>EDRMS UTILIZATION REPORT</t>
        </is>
      </c>
    </row>
    <row r="3">
      <c r="B3" s="2" t="inlineStr">
        <is>
          <t>Where every KPI and diagram gets its data, and what has to be built for the ones that cannot get it yet</t>
        </is>
      </c>
    </row>
    <row r="4">
      <c r="B4" s="3" t="inlineStr">
        <is>
          <t>VERSION 2, 8 August 2026. Read against Database_Design_12.03, the deployed public."Records" table in drm-npr, and direct inspection of the 7rkd12 test tenant.</t>
        </is>
      </c>
    </row>
    <row r="6">
      <c r="B6" s="4" t="inlineStr">
        <is>
          <t>THE ONE THING TO TAKE AWAY</t>
        </is>
      </c>
    </row>
    <row r="7">
      <c r="B7" s="5" t="inlineStr">
        <is>
          <t>public."Records" contains DECLARED RECORDS ONLY, about 1,990 in UAT. It holds no row at all for an undeclared document.</t>
        </is>
      </c>
    </row>
    <row r="8">
      <c r="B8" s="5" t="inlineStr">
        <is>
          <t>So every figure about declared records can be produced today. Every figure that needs a denominator cannot, because the</t>
        </is>
      </c>
    </row>
    <row r="9">
      <c r="B9" s="5" t="inlineStr">
        <is>
          <t>denominator does not exist in any system yet. That single fact explains most of the red rows in this workbook.</t>
        </is>
      </c>
    </row>
    <row r="11">
      <c r="B11" s="4" t="inlineStr">
        <is>
          <t>THE TWO TABLES THE REPORT NEEDS</t>
        </is>
      </c>
    </row>
    <row r="12">
      <c r="B12" s="6" t="inlineStr">
        <is>
          <t>Table</t>
        </is>
      </c>
      <c r="C12" s="6" t="inlineStr">
        <is>
          <t>One row per</t>
        </is>
      </c>
      <c r="D12" s="6" t="inlineStr">
        <is>
          <t>Why it has to exist separately</t>
        </is>
      </c>
    </row>
    <row r="13" ht="30" customHeight="1">
      <c r="B13" s="7" t="inlineStr">
        <is>
          <t>rpt.utilization_report</t>
        </is>
      </c>
      <c r="C13" s="8" t="inlineStr">
        <is>
          <t>document</t>
        </is>
      </c>
      <c r="D13" s="9" t="inlineStr">
        <is>
          <t>Holds declared AND undeclared documents together. Without the undeclared ones there is no denominator and no declaration rate.</t>
        </is>
      </c>
    </row>
    <row r="14" ht="30" customHeight="1">
      <c r="B14" s="7" t="inlineStr">
        <is>
          <t>rpt.utilization_site_activity</t>
        </is>
      </c>
      <c r="C14" s="8" t="inlineStr">
        <is>
          <t>SharePoint site</t>
        </is>
      </c>
      <c r="D14" s="9" t="inlineStr">
        <is>
          <t>A site with no documents in it has no document rows, so it would vanish from the site count. Visit counts are also per site, and repeating them on every document row makes any total nonsense.</t>
        </is>
      </c>
    </row>
    <row r="16">
      <c r="B16" s="4" t="inlineStr">
        <is>
          <t>STATUS VOCABULARY, used on every sheet</t>
        </is>
      </c>
    </row>
    <row r="17">
      <c r="B17" s="6" t="inlineStr">
        <is>
          <t>Status</t>
        </is>
      </c>
      <c r="C17" s="6" t="inlineStr">
        <is>
          <t>Count</t>
        </is>
      </c>
      <c r="D17" s="6" t="inlineStr">
        <is>
          <t>What it means and what unblocks it</t>
        </is>
      </c>
    </row>
    <row r="18" ht="26" customHeight="1">
      <c r="B18" s="10" t="inlineStr">
        <is>
          <t>Ready today</t>
        </is>
      </c>
      <c r="C18" s="11">
        <f>COUNTIF('KPIs and Diagrams'!$H:$H,$B18)</f>
        <v/>
      </c>
      <c r="D18" s="9" t="inlineStr">
        <is>
          <t>The data is in public."Records" today. Nothing to build. Point the query at it.</t>
        </is>
      </c>
    </row>
    <row r="19" ht="26" customHeight="1">
      <c r="B19" s="12" t="inlineStr">
        <is>
          <t>Needs the document scan</t>
        </is>
      </c>
      <c r="C19" s="11">
        <f>COUNTIF('KPIs and Diagrams'!$H:$H,$B19)</f>
        <v/>
      </c>
      <c r="D19" s="9" t="inlineStr">
        <is>
          <t>Needs the weekly Microsoft Graph scan of every library in every compliant site. ONE job unblocks all of these at once.</t>
        </is>
      </c>
    </row>
    <row r="20" ht="26" customHeight="1">
      <c r="B20" s="12" t="inlineStr">
        <is>
          <t>Needs the usage feed</t>
        </is>
      </c>
      <c r="C20" s="11">
        <f>COUNTIF('KPIs and Diagrams'!$H:$H,$B20)</f>
        <v/>
      </c>
      <c r="D20" s="9" t="inlineStr">
        <is>
          <t>Needs the Microsoft 365 SharePoint site usage report, written weekly into the Site Activity Table. Independent of everything else.</t>
        </is>
      </c>
    </row>
    <row r="21" ht="26" customHeight="1">
      <c r="B21" s="13" t="inlineStr">
        <is>
          <t>Blocked</t>
        </is>
      </c>
      <c r="C21" s="11">
        <f>COUNTIF('KPIs and Diagrams'!$H:$H,$B21)</f>
        <v/>
      </c>
      <c r="D21" s="9" t="inlineStr">
        <is>
          <t>Cannot be produced at all until a gap is closed. See the Gaps and actions sheet.</t>
        </is>
      </c>
    </row>
    <row r="22" ht="26" customHeight="1">
      <c r="B22" s="14" t="inlineStr">
        <is>
          <t>Derived from other elements</t>
        </is>
      </c>
      <c r="C22" s="11">
        <f>COUNTIF('KPIs and Diagrams'!$H:$H,$B22)</f>
        <v/>
      </c>
      <c r="D22" s="9" t="inlineStr">
        <is>
          <t>Reads other elements rather than the database. Inherits their status.</t>
        </is>
      </c>
    </row>
    <row r="23">
      <c r="B23" s="15" t="inlineStr">
        <is>
          <t>Total elements mapped</t>
        </is>
      </c>
      <c r="C23" s="16">
        <f>SUM(C18:C22)</f>
        <v/>
      </c>
      <c r="D23" s="17" t="inlineStr">
        <is>
          <t>Every KPI, chart, filter, drill level and label in the prototype.</t>
        </is>
      </c>
    </row>
    <row r="24">
      <c r="B24" s="3" t="inlineStr">
        <is>
          <t>The counts above are live formulas over the KPIs and Diagrams sheet, so they cannot drift from it. They populate the moment the file opens in Excel.</t>
        </is>
      </c>
    </row>
    <row r="26">
      <c r="B26" s="4" t="inlineStr">
        <is>
          <t>HOW TO USE THIS WORKBOOK</t>
        </is>
      </c>
    </row>
    <row r="27" ht="26" customHeight="1">
      <c r="B27" s="18" t="inlineStr">
        <is>
          <t>KPIs and Diagrams</t>
        </is>
      </c>
      <c r="C27" s="9" t="inlineStr">
        <is>
          <t>The main sheet. One row per visual element, with the calculation in words, the status, the exact columns, and a runnable query.</t>
        </is>
      </c>
    </row>
    <row r="28" ht="26" customHeight="1">
      <c r="B28" s="18" t="inlineStr">
        <is>
          <t>Database columns</t>
        </is>
      </c>
      <c r="C28" s="9" t="inlineStr">
        <is>
          <t>All 58 columns of the two tables, whether each exists today, and exactly where in the workbook and the live database.</t>
        </is>
      </c>
    </row>
    <row r="29" ht="26" customHeight="1">
      <c r="B29" s="18" t="inlineStr">
        <is>
          <t>Gaps and actions</t>
        </is>
      </c>
      <c r="C29" s="9" t="inlineStr">
        <is>
          <t>The three gaps, what each one blocks, who owns it, and what closing it involves.</t>
        </is>
      </c>
    </row>
    <row r="30" ht="26" customHeight="1">
      <c r="B30" s="18" t="inlineStr">
        <is>
          <t>Decisions needed</t>
        </is>
      </c>
      <c r="C30" s="9" t="inlineStr">
        <is>
          <t>Questions only RAC can answer. Each one changes a number, so leaving them open means the report cannot be signed off.</t>
        </is>
      </c>
    </row>
    <row r="32">
      <c r="B32" s="4" t="inlineStr">
        <is>
          <t>WHAT CHANGED IN VERSION 2, AFTER INSPECTING THE TEST TENANT</t>
        </is>
      </c>
    </row>
    <row r="33">
      <c r="B33" s="5" t="inlineStr">
        <is>
          <t>- GAP 2 IS CLOSED. Microsoft Graph returns file size on every file, verified on real items rather than taken from documentation.</t>
        </is>
      </c>
    </row>
    <row r="34">
      <c r="B34" s="5" t="inlineStr">
        <is>
          <t>-    Six elements moved from Blocked to Needs the scan. Gap 2 is no longer a separate problem, it is part of the scan.</t>
        </is>
      </c>
    </row>
    <row r="35">
      <c r="B35" s="5" t="inlineStr">
        <is>
          <t>- GAP 3 HAS A MUCH BETTER ANSWER. The Retention Label Mapping list is already the enforced registry of what EDRMS manages.</t>
        </is>
      </c>
    </row>
    <row r="36">
      <c r="B36" s="5" t="inlineStr">
        <is>
          <t>-    Declaration into an unmapped library already fails. The rule exists, it just has not been called a compliance rule.</t>
        </is>
      </c>
    </row>
    <row r="37">
      <c r="B37" s="5" t="inlineStr">
        <is>
          <t>- A NEW BUG WAS CAUGHT before the scan was written: folder sizes are cumulative, so summing every item double counts storage.</t>
        </is>
      </c>
    </row>
    <row r="38">
      <c r="B38" s="5" t="inlineStr">
        <is>
          <t>- A NEW DECISION SURFACED: documents in unmapped libraries are undeclarable, not undeclared. Counting them caps the rate below 100 percent.</t>
        </is>
      </c>
    </row>
    <row r="39">
      <c r="B39" s="5" t="inlineStr">
        <is>
          <t>- GAPS 1 AND 3a ARE UNCHANGED, and the usage feed still needs the real tenant.</t>
        </is>
      </c>
    </row>
    <row r="40">
      <c r="B40" s="5" t="inlineStr">
        <is>
          <t>- Every element now carries a column saying what the test tenant can and cannot settle for it.</t>
        </is>
      </c>
    </row>
    <row r="42">
      <c r="B42" s="4" t="inlineStr">
        <is>
          <t>WHAT CHANGED FROM THE DRAFT source_data.xlsx</t>
        </is>
      </c>
    </row>
    <row r="43">
      <c r="B43" s="5" t="inlineStr">
        <is>
          <t>- Yes / No for "data exists" was too blunt. Almost every honest answer is "yes for declared records, no for the rest", so a five value status replaced it.</t>
        </is>
      </c>
    </row>
    <row r="44">
      <c r="B44" s="5" t="inlineStr">
        <is>
          <t>- Added a column saying HOW to source anything missing, naming the system: Graph, the admin centre, the usage reports, AvePoint, or a RAC decision.</t>
        </is>
      </c>
    </row>
    <row r="45">
      <c r="B45" s="5" t="inlineStr">
        <is>
          <t>- Added the calculation in words beside each element, because no figure comes from a single column: it is a count, sliced by a grouping column, filtered by another.</t>
        </is>
      </c>
    </row>
    <row r="46">
      <c r="B46" s="5" t="inlineStr">
        <is>
          <t>- Added the elements the draft omitted: the four drill levels, both date filters, the sort controls, the Overview dashboard, and the Data as of line.</t>
        </is>
      </c>
    </row>
    <row r="47">
      <c r="B47" s="5" t="inlineStr">
        <is>
          <t>- Replaced the #VALUE! rows, which had lost their diagram names.</t>
        </is>
      </c>
    </row>
    <row r="48">
      <c r="B48" s="5" t="inlineStr">
        <is>
          <t>- Corrected four column types against the deployed CREATE TABLE: Id and ListId are uuid, EDRMSDuration is text, DeclarationType is already live.</t>
        </is>
      </c>
    </row>
  </sheetData>
  <mergeCells count="18">
    <mergeCell ref="B33:D33"/>
    <mergeCell ref="B47:D47"/>
    <mergeCell ref="B36:D36"/>
    <mergeCell ref="C29:D29"/>
    <mergeCell ref="C30:D30"/>
    <mergeCell ref="B37:D37"/>
    <mergeCell ref="B45:D45"/>
    <mergeCell ref="B46:D46"/>
    <mergeCell ref="C27:D27"/>
    <mergeCell ref="B35:D35"/>
    <mergeCell ref="B40:D40"/>
    <mergeCell ref="C28:D28"/>
    <mergeCell ref="B44:D44"/>
    <mergeCell ref="B43:D43"/>
    <mergeCell ref="B39:D39"/>
    <mergeCell ref="B38:D38"/>
    <mergeCell ref="B48:D48"/>
    <mergeCell ref="B34:D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showGridLines="0" workbookViewId="0">
      <selection activeCell="A1" sqref="A1"/>
    </sheetView>
  </sheetViews>
  <sheetFormatPr baseColWidth="8" defaultRowHeight="15"/>
  <cols>
    <col width="4" customWidth="1" min="1" max="1"/>
    <col width="40" customWidth="1" min="2" max="2"/>
    <col width="70" customWidth="1" min="3" max="3"/>
    <col width="78" customWidth="1" min="4" max="4"/>
    <col width="26" customWidth="1" min="5" max="5"/>
  </cols>
  <sheetData>
    <row r="1">
      <c r="A1" s="19" t="inlineStr">
        <is>
          <t>WHAT THE TEST TENANT SETTLED, AND WHAT IT COULD NOT</t>
        </is>
      </c>
    </row>
    <row r="2">
      <c r="A2" s="20" t="inlineStr">
        <is>
          <t>Checked 8 August 2026 as JimTest@7rkd12.onmicrosoft.com against org_csd_1.4testsite and its 22 libraries. Everything below was observed directly, not inferred from documentation.</t>
        </is>
      </c>
    </row>
    <row r="4" ht="28" customHeight="1">
      <c r="A4" s="21" t="inlineStr">
        <is>
          <t>#</t>
        </is>
      </c>
      <c r="B4" s="21" t="inlineStr">
        <is>
          <t>What was checked</t>
        </is>
      </c>
      <c r="C4" s="21" t="inlineStr">
        <is>
          <t>What was found</t>
        </is>
      </c>
      <c r="D4" s="21" t="inlineStr">
        <is>
          <t>What it changes</t>
        </is>
      </c>
      <c r="E4" s="21" t="inlineStr">
        <is>
          <t>Outcome</t>
        </is>
      </c>
    </row>
    <row r="5" ht="78" customHeight="1">
      <c r="A5" s="9" t="n">
        <v>1</v>
      </c>
      <c r="B5" s="22" t="inlineStr">
        <is>
          <t>Does Microsoft Graph return file size?</t>
        </is>
      </c>
      <c r="C5" s="9" t="inlineStr">
        <is>
          <t>Yes, on every file, unprompted. Observed: 11.eml 2,727 bytes; a .docx 26,276 bytes; three .png files 154,419 bytes each; nature_theme_2MB.pdf 2,338,767 bytes.</t>
        </is>
      </c>
      <c r="D5" s="9" t="inlineStr">
        <is>
          <t>GAP 2 IS CLOSED as a separate gap. Six elements move from Blocked to Needs the scan. The FileMeta.FileSize change is now optional, wanted only for per record detail at declaration time.</t>
        </is>
      </c>
      <c r="E5" s="23" t="inlineStr">
        <is>
          <t>Resolved</t>
        </is>
      </c>
    </row>
    <row r="6" ht="78" customHeight="1">
      <c r="A6" s="9" t="n">
        <v>2</v>
      </c>
      <c r="B6" s="22" t="inlineStr">
        <is>
          <t>Do folders come back as items, and with what size?</t>
        </is>
      </c>
      <c r="C6" s="9" t="inlineStr">
        <is>
          <t>Yes, folders are returned alongside files, and their size is the RECURSIVE TOTAL of their contents. Observed: one folder 5,163,738 bytes, another 9,191,536 bytes, several 0 bytes.</t>
        </is>
      </c>
      <c r="D6" s="9" t="inlineStr">
        <is>
          <t>A NEW BUG, caught before anyone wrote the scan. Summing every item's size double counts: once in the folder, again in each file inside it. Storage would land at roughly double and look entirely plausible. The scan must filter to files only.</t>
        </is>
      </c>
      <c r="E6" s="24" t="inlineStr">
        <is>
          <t>New risk, now known</t>
        </is>
      </c>
    </row>
    <row r="7" ht="78" customHeight="1">
      <c r="A7" s="9" t="n">
        <v>3</v>
      </c>
      <c r="B7" s="22" t="inlineStr">
        <is>
          <t>Does the ListId in Records match SharePoint's own list GUID?</t>
        </is>
      </c>
      <c r="C7" s="9" t="inlineStr">
        <is>
          <t>Yes. Decoded from the Graph drive IDs: Annual Meetings is list 387ed159-b632-45af-b4d4-c6fd96d8ee33, Budget is a09d42b9-5b7a-4a07-b6c7-8c600a74eef6, both under site 414bd9e3-7f1e-43bf-8e41-65d7b9b94df0.</t>
        </is>
      </c>
      <c r="D7" s="9" t="inlineStr">
        <is>
          <t>The ListId + ItemId join key is verifiable end to end, on data small enough to check by hand. This is the first thing to test once the scan runs.</t>
        </is>
      </c>
      <c r="E7" s="23" t="inlineStr">
        <is>
          <t>Confirmed</t>
        </is>
      </c>
    </row>
    <row r="8" ht="78" customHeight="1">
      <c r="A8" s="9" t="n">
        <v>4</v>
      </c>
      <c r="B8" s="22" t="inlineStr">
        <is>
          <t>Is there anything that already defines which libraries EDRMS manages?</t>
        </is>
      </c>
      <c r="C8" s="9" t="inlineStr">
        <is>
          <t>Yes, and it is already enforced. The tenant contains 'No mapping library1', a real library holding real documents (.docx, .pdf, .png, a 2.3MB PDF). Declaration into it FAILS, and the error emails read 'Error Type: No Retention Label Mapping' and 'No Library and Retention Label Mapping found'.</t>
        </is>
      </c>
      <c r="D8" s="9" t="inlineStr">
        <is>
          <t>A MUCH BETTER ANSWER TO GAP 3 than the three options previously proposed. The Retention Label Mapping list is already the de facto registry of what EDRMS manages: it is maintained, and the application already enforces it. Proposed rule: a library is in scope if it appears in that list, and a site is compliant if it holds at least one mapped library. Needs no new list and no new process.</t>
        </is>
      </c>
      <c r="E8" s="24" t="inlineStr">
        <is>
          <t>Proposal, needs RAC sign off</t>
        </is>
      </c>
    </row>
    <row r="9" ht="78" customHeight="1">
      <c r="A9" s="9" t="n">
        <v>5</v>
      </c>
      <c r="B9" s="22" t="inlineStr">
        <is>
          <t>Does the denominator question have a real consequence?</t>
        </is>
      </c>
      <c r="C9" s="9" t="inlineStr">
        <is>
          <t>Yes. Documents sitting in unmapped libraries can NEVER be declared, because the application rejects the attempt. They are not undeclared, they are undeclarable.</t>
        </is>
      </c>
      <c r="D9" s="9" t="inlineStr">
        <is>
          <t>If unmapped libraries are counted in Total Documents, the declaration rate is permanently held down by documents nobody could ever declare, and it can never reach 100 percent. This is the single most important thing to settle before the KPI goes in front of RAC.</t>
        </is>
      </c>
      <c r="E9" s="24" t="inlineStr">
        <is>
          <t>Decision needed</t>
        </is>
      </c>
    </row>
    <row r="10" ht="78" customHeight="1">
      <c r="A10" s="9" t="n">
        <v>6</v>
      </c>
      <c r="B10" s="22" t="inlineStr">
        <is>
          <t>Can the department and division link be confirmed here?</t>
        </is>
      </c>
      <c r="C10" s="9" t="inlineStr">
        <is>
          <t>No. The connector reads files and folders but not managed metadata or column values, so the term store link cannot be checked. Noted separately: sites are named org_csd_1.4testsite, org_csd_1.3testsite, and the Records sample site is org_edrms_uat.</t>
        </is>
      </c>
      <c r="D10" s="9" t="inlineStr">
        <is>
          <t>GAP 1 IS UNCHANGED and remains the largest open item. A possible bridge: if ADB site URLs carry a department code the way these do, department could be parsed from the URL until ADBMeta is populated. Treat as a fallback, not a plan: naming conventions drift, and a wrong department is worse than a blank one.</t>
        </is>
      </c>
      <c r="E10" s="25" t="inlineStr">
        <is>
          <t>Still blocked</t>
        </is>
      </c>
    </row>
    <row r="11" ht="78" customHeight="1">
      <c r="A11" s="9" t="n">
        <v>7</v>
      </c>
      <c r="B11" s="22" t="inlineStr">
        <is>
          <t>Can site created date be read?</t>
        </is>
      </c>
      <c r="C11" s="9" t="inlineStr">
        <is>
          <t>Not with this connector. It lists a site's 22 libraries but does not expose the site's own properties.</t>
        </is>
      </c>
      <c r="D11" s="9" t="inlineStr">
        <is>
          <t>GAP 3a UNCHANGED. Read it from the SharePoint admin centre, Active sites, Created column, exportable to CSV. Cheap, but it is not something this tenant closes.</t>
        </is>
      </c>
      <c r="E11" s="25" t="inlineStr">
        <is>
          <t>Still blocked</t>
        </is>
      </c>
    </row>
    <row r="12" ht="78" customHeight="1">
      <c r="A12" s="9" t="n">
        <v>8</v>
      </c>
      <c r="B12" s="22" t="inlineStr">
        <is>
          <t>Can the usage feed be tested here?</t>
        </is>
      </c>
      <c r="C12" s="9" t="inlineStr">
        <is>
          <t>Not meaningfully. A test tenant's site visits and unique viewers are a handful of test accounts.</t>
        </is>
      </c>
      <c r="D12" s="9" t="inlineStr">
        <is>
          <t>FEED 2 UNCHANGED. It needs the real tenant and admin rights. It stays the cheapest item on the list and it is independent of everything else.</t>
        </is>
      </c>
      <c r="E12" s="25" t="inlineStr">
        <is>
          <t>Still blocked</t>
        </is>
      </c>
    </row>
    <row r="13" ht="78" customHeight="1">
      <c r="A13" s="9" t="n">
        <v>9</v>
      </c>
      <c r="B13" s="22" t="inlineStr">
        <is>
          <t>Is the test data realistic enough to trust a rehearsal?</t>
        </is>
      </c>
      <c r="C13" s="9" t="inlineStr">
        <is>
          <t>More than realistic, it is adversarial. Filenames contain zero width spaces, non breaking hyphens, currency symbols and the full punctuation set. Libraries are named 'permission lib', 'library with read access' and 'permission no'. Folders differ only by a trailing letter. Several .png files share an identical byte size.</t>
        </is>
      </c>
      <c r="D13" s="9" t="inlineStr">
        <is>
          <t>A scan that runs clean here has already survived permission trimming, hostile names and near duplicates. This is worth more than a tidy dataset would be.</t>
        </is>
      </c>
      <c r="E13" s="23" t="inlineStr">
        <is>
          <t>Confirmed</t>
        </is>
      </c>
    </row>
    <row r="15">
      <c r="B15" s="26" t="inlineStr">
        <is>
          <t>THE HEADLINE</t>
        </is>
      </c>
    </row>
    <row r="16">
      <c r="B16" s="27" t="inlineStr">
        <is>
          <t>- The test tenant closed one gap outright, produced a far better answer to a second, and caught a bug before it was written.</t>
        </is>
      </c>
    </row>
    <row r="17">
      <c r="B17" s="27" t="inlineStr">
        <is>
          <t>- It cannot close the department link, the site created date, or the usage feed. Those three need the real tenant or a RAC decision.</t>
        </is>
      </c>
    </row>
    <row r="18">
      <c r="B18" s="27" t="inlineStr">
        <is>
          <t>- Its greatest value is as a rehearsal ground: the data there is adversarial, not tidy, so a scan that runs clean here will run clean at ADB.</t>
        </is>
      </c>
    </row>
  </sheetData>
  <mergeCells count="3">
    <mergeCell ref="B17:E17"/>
    <mergeCell ref="B18:E18"/>
    <mergeCell ref="B16:E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20" customWidth="1" min="2" max="2"/>
    <col width="30" customWidth="1" min="3" max="3"/>
    <col width="34" customWidth="1" min="4" max="4"/>
    <col width="15" customWidth="1" min="5" max="5"/>
    <col width="26" customWidth="1" min="6" max="6"/>
    <col width="52" customWidth="1" min="7" max="7"/>
    <col width="24" customWidth="1" min="8" max="8"/>
    <col width="30" customWidth="1" min="9" max="9"/>
    <col width="30" customWidth="1" min="10" max="10"/>
    <col width="62" customWidth="1" min="11" max="11"/>
    <col width="62" customWidth="1" min="12" max="12"/>
    <col width="60" customWidth="1" min="13" max="13"/>
  </cols>
  <sheetData>
    <row r="1">
      <c r="A1" s="19" t="inlineStr">
        <is>
          <t>EVERY KPI AND DIAGRAM IN THE PROTOTYPE, WHERE ITS DATA COMES FROM, AND WHAT THE TEST TENANT CAN SETTLE</t>
        </is>
      </c>
    </row>
    <row r="2">
      <c r="A2" s="20" t="inlineStr">
        <is>
          <t>Version 2, revised 8 August 2026 after direct inspection of the 7rkd12 test tenant. Read Status first, then the test tenant column.</t>
        </is>
      </c>
    </row>
    <row r="4" ht="30" customHeight="1">
      <c r="A4" s="21" t="inlineStr">
        <is>
          <t>#</t>
        </is>
      </c>
      <c r="B4" s="21" t="inlineStr">
        <is>
          <t>Dashboard</t>
        </is>
      </c>
      <c r="C4" s="21" t="inlineStr">
        <is>
          <t>Section</t>
        </is>
      </c>
      <c r="D4" s="21" t="inlineStr">
        <is>
          <t>Element</t>
        </is>
      </c>
      <c r="E4" s="21" t="inlineStr">
        <is>
          <t>Type</t>
        </is>
      </c>
      <c r="F4" s="21" t="inlineStr">
        <is>
          <t>Shows in the prototype</t>
        </is>
      </c>
      <c r="G4" s="21" t="inlineStr">
        <is>
          <t>How the number is produced</t>
        </is>
      </c>
      <c r="H4" s="21" t="inlineStr">
        <is>
          <t>Status</t>
        </is>
      </c>
      <c r="I4" s="21" t="inlineStr">
        <is>
          <t>Source table</t>
        </is>
      </c>
      <c r="J4" s="21" t="inlineStr">
        <is>
          <t>Column/s in the database</t>
        </is>
      </c>
      <c r="K4" s="21" t="inlineStr">
        <is>
          <t>If it is not there, how to source it</t>
        </is>
      </c>
      <c r="L4" s="21" t="inlineStr">
        <is>
          <t>Can the TEST TENANT settle it?</t>
        </is>
      </c>
      <c r="M4" s="21" t="inlineStr">
        <is>
          <t>Query sample</t>
        </is>
      </c>
    </row>
    <row r="5" ht="33" customHeight="1">
      <c r="A5" s="28" t="n">
        <v>1</v>
      </c>
      <c r="B5" s="29" t="inlineStr">
        <is>
          <t>Records Management</t>
        </is>
      </c>
      <c r="C5" s="28" t="inlineStr">
        <is>
          <t>1. Declared records vs total documents</t>
        </is>
      </c>
      <c r="D5" s="22" t="inlineStr">
        <is>
          <t>Total Declared Records</t>
        </is>
      </c>
      <c r="E5" s="9" t="inlineStr">
        <is>
          <t>KPI card</t>
        </is>
      </c>
      <c r="F5" s="9" t="inlineStr">
        <is>
          <t>21,646</t>
        </is>
      </c>
      <c r="G5" s="9" t="inlineStr">
        <is>
          <t>Count the distinct ListId + ItemId pairs that are not soft deleted. Being present in Records is what makes a document declared, so no flag is tested.</t>
        </is>
      </c>
      <c r="H5" s="23" t="inlineStr">
        <is>
          <t>Ready today</t>
        </is>
      </c>
      <c r="I5" s="9" t="inlineStr">
        <is>
          <t>public.Records</t>
        </is>
      </c>
      <c r="J5" s="9" t="inlineStr">
        <is>
          <t>ListId, ItemId, IsDeleted</t>
        </is>
      </c>
      <c r="K5" s="9" t="inlineStr">
        <is>
          <t>Nothing needed. The data is in the EDRMS database today.</t>
        </is>
      </c>
      <c r="L5" s="9" t="inlineStr">
        <is>
          <t>Yes. Run the query against the UAT database and hand count the same figure in the test tenant. Small enough to reconcile exactly.</t>
        </is>
      </c>
      <c r="M5" s="30" t="inlineStr">
        <is>
          <t>SELECT count(DISTINCT ("ListId","ItemId")) AS total_declared_records
FROM public."Records"
WHERE "IsDeleted" = false;</t>
        </is>
      </c>
    </row>
    <row r="6" ht="55" customHeight="1">
      <c r="A6" s="9" t="n">
        <v>2</v>
      </c>
      <c r="B6" s="22" t="inlineStr">
        <is>
          <t>Records Management</t>
        </is>
      </c>
      <c r="C6" s="9" t="inlineStr">
        <is>
          <t>1. Declared records vs total documents</t>
        </is>
      </c>
      <c r="D6" s="22" t="inlineStr">
        <is>
          <t>Declared records per department</t>
        </is>
      </c>
      <c r="E6" s="9" t="inlineStr">
        <is>
          <t>Stacked bar chart</t>
        </is>
      </c>
      <c r="F6" s="9" t="inlineStr">
        <is>
          <t>16 bars, 2,611 down to 540</t>
        </is>
      </c>
      <c r="G6" s="9" t="inlineStr">
        <is>
          <t>The same count, grouped by the owning department.</t>
        </is>
      </c>
      <c r="H6" s="25" t="inlineStr">
        <is>
          <t>Blocked</t>
        </is>
      </c>
      <c r="I6" s="9" t="inlineStr">
        <is>
          <t>public.Records</t>
        </is>
      </c>
      <c r="J6" s="9" t="inlineStr">
        <is>
          <t>ADBMeta -&gt; ADBDepartmentOwner</t>
        </is>
      </c>
      <c r="K6" s="9" t="inlineStr">
        <is>
          <t>Gap 1. ADBMeta is marked Future Enhancement and is empty. Attach the department to the SITE in the Site Activity Table, about 1,057 values, and let documents inherit it. Check AvePoint Cloud Governance first: it may already hold it from provisioning.</t>
        </is>
      </c>
      <c r="L6" s="9" t="inlineStr">
        <is>
          <t>Partly. The connector cannot read managed metadata, so the term store link cannot be confirmed here. Testable fallback: the sites are named org_&lt;code&gt;_..., so check whether ADB site URLs carry a department code that could bridge until ADBMeta is populated.</t>
        </is>
      </c>
      <c r="M6" s="30" t="inlineStr">
        <is>
          <t>SELECT "ADBMeta"-&gt;&gt;'ADBDepartmentOwner' AS department,
       count(DISTINCT ("ListId","ItemId")) AS declared
FROM public."Records"
WHERE "IsDeleted" = false
GROUP BY 1 ORDER BY 2 DESC;</t>
        </is>
      </c>
    </row>
    <row r="7" ht="55" customHeight="1">
      <c r="A7" s="9" t="n">
        <v>3</v>
      </c>
      <c r="B7" s="22" t="inlineStr">
        <is>
          <t>Records Management</t>
        </is>
      </c>
      <c r="C7" s="9" t="inlineStr">
        <is>
          <t>1. Declared records vs total documents</t>
        </is>
      </c>
      <c r="D7" s="22" t="inlineStr">
        <is>
          <t>With physical counterpart</t>
        </is>
      </c>
      <c r="E7" s="9" t="inlineStr">
        <is>
          <t>Bar segment, teal</t>
        </is>
      </c>
      <c r="F7" s="9" t="inlineStr">
        <is>
          <t>470 of 2,611 for ITD</t>
        </is>
      </c>
      <c r="G7" s="9" t="inlineStr">
        <is>
          <t>The same count where HasPhysical is Yes.</t>
        </is>
      </c>
      <c r="H7" s="23" t="inlineStr">
        <is>
          <t>Ready today</t>
        </is>
      </c>
      <c r="I7" s="9" t="inlineStr">
        <is>
          <t>public.Records</t>
        </is>
      </c>
      <c r="J7" s="9" t="inlineStr">
        <is>
          <t>EDRMSMeta -&gt; HasPhysical</t>
        </is>
      </c>
      <c r="K7" s="9" t="inlineStr">
        <is>
          <t>Nothing needed. The data is in the EDRMS database today.</t>
        </is>
      </c>
      <c r="L7" s="9" t="inlineStr">
        <is>
          <t>Yes. Run the query against the UAT database and hand count the same figure in the test tenant. Small enough to reconcile exactly.</t>
        </is>
      </c>
      <c r="M7" s="30" t="inlineStr">
        <is>
          <t>SELECT "EDRMSMeta"-&gt;&gt;'HasPhysical' AS has_physical,
       count(DISTINCT ("ListId","ItemId")) AS declared
FROM public."Records"
WHERE "IsDeleted" = false
GROUP BY 1;</t>
        </is>
      </c>
    </row>
    <row r="8" ht="30" customHeight="1">
      <c r="A8" s="9" t="n">
        <v>4</v>
      </c>
      <c r="B8" s="22" t="inlineStr">
        <is>
          <t>Records Management</t>
        </is>
      </c>
      <c r="C8" s="9" t="inlineStr">
        <is>
          <t>1. Declared records vs total documents</t>
        </is>
      </c>
      <c r="D8" s="22" t="inlineStr">
        <is>
          <t>Without physical counterpart</t>
        </is>
      </c>
      <c r="E8" s="9" t="inlineStr">
        <is>
          <t>Bar segment, grey blue</t>
        </is>
      </c>
      <c r="F8" s="9" t="inlineStr">
        <is>
          <t>2,141 of 2,611 for ITD</t>
        </is>
      </c>
      <c r="G8" s="9" t="inlineStr">
        <is>
          <t>The same count where HasPhysical is No. The two segments add to the bar total.</t>
        </is>
      </c>
      <c r="H8" s="23" t="inlineStr">
        <is>
          <t>Ready today</t>
        </is>
      </c>
      <c r="I8" s="9" t="inlineStr">
        <is>
          <t>public.Records</t>
        </is>
      </c>
      <c r="J8" s="9" t="inlineStr">
        <is>
          <t>EDRMSMeta -&gt; HasPhysical</t>
        </is>
      </c>
      <c r="K8" s="9" t="inlineStr">
        <is>
          <t>Nothing needed. The data is in the EDRMS database today.</t>
        </is>
      </c>
      <c r="L8" s="9" t="inlineStr">
        <is>
          <t>Yes. Run the query against the UAT database and hand count the same figure in the test tenant. Small enough to reconcile exactly.</t>
        </is>
      </c>
      <c r="M8" s="30" t="inlineStr">
        <is>
          <t>-- same query as the row above, read the 'No' bucket</t>
        </is>
      </c>
    </row>
    <row r="9" ht="30" customHeight="1">
      <c r="A9" s="9" t="n">
        <v>5</v>
      </c>
      <c r="B9" s="22" t="inlineStr">
        <is>
          <t>Records Management</t>
        </is>
      </c>
      <c r="C9" s="9" t="inlineStr">
        <is>
          <t>1. Declared records vs total documents</t>
        </is>
      </c>
      <c r="D9" s="22" t="inlineStr">
        <is>
          <t>Drill level 1, Department</t>
        </is>
      </c>
      <c r="E9" s="9" t="inlineStr">
        <is>
          <t>Drill down</t>
        </is>
      </c>
      <c r="F9" s="9" t="inlineStr">
        <is>
          <t>Click a bar</t>
        </is>
      </c>
      <c r="G9" s="9" t="inlineStr">
        <is>
          <t>Regroup the same count by department.</t>
        </is>
      </c>
      <c r="H9" s="25" t="inlineStr">
        <is>
          <t>Blocked</t>
        </is>
      </c>
      <c r="I9" s="9" t="inlineStr">
        <is>
          <t>public.Records</t>
        </is>
      </c>
      <c r="J9" s="9" t="inlineStr">
        <is>
          <t>ADBMeta -&gt; ADBDepartmentOwner</t>
        </is>
      </c>
      <c r="K9" s="9" t="inlineStr">
        <is>
          <t>Gap 1. ADBMeta is marked Future Enhancement and is empty. Attach the department to the SITE in the Site Activity Table, about 1,057 values, and let documents inherit it. Check AvePoint Cloud Governance first: it may already hold it from provisioning.</t>
        </is>
      </c>
      <c r="L9" s="9" t="inlineStr">
        <is>
          <t>Partly. The connector cannot read managed metadata, so the term store link cannot be confirmed here. Testable fallback: the sites are named org_&lt;code&gt;_..., so check whether ADB site URLs carry a department code that could bridge until ADBMeta is populated.</t>
        </is>
      </c>
      <c r="M9" s="30" t="inlineStr">
        <is>
          <t>GROUP BY "ADBMeta"-&gt;&gt;'ADBDepartmentOwner'</t>
        </is>
      </c>
    </row>
    <row r="10" ht="30" customHeight="1">
      <c r="A10" s="9" t="n">
        <v>6</v>
      </c>
      <c r="B10" s="22" t="inlineStr">
        <is>
          <t>Records Management</t>
        </is>
      </c>
      <c r="C10" s="9" t="inlineStr">
        <is>
          <t>1. Declared records vs total documents</t>
        </is>
      </c>
      <c r="D10" s="22" t="inlineStr">
        <is>
          <t>Drill level 2, Division</t>
        </is>
      </c>
      <c r="E10" s="9" t="inlineStr">
        <is>
          <t>Drill down</t>
        </is>
      </c>
      <c r="F10" s="9" t="inlineStr">
        <is>
          <t>Click a department bar</t>
        </is>
      </c>
      <c r="G10" s="9" t="inlineStr">
        <is>
          <t>Regroup by division, filtered to the chosen department.</t>
        </is>
      </c>
      <c r="H10" s="25" t="inlineStr">
        <is>
          <t>Blocked</t>
        </is>
      </c>
      <c r="I10" s="9" t="inlineStr">
        <is>
          <t>public.Records</t>
        </is>
      </c>
      <c r="J10" s="9" t="inlineStr">
        <is>
          <t>ADBMeta -&gt; ADBDivisionOwner</t>
        </is>
      </c>
      <c r="K10" s="9" t="inlineStr">
        <is>
          <t>Gap 1. Same source as department. The Division term set is hierarchical, so division rolls up to department on its own.</t>
        </is>
      </c>
      <c r="L10" s="9" t="inlineStr">
        <is>
          <t>Partly. The connector cannot read managed metadata, so the term store link cannot be confirmed here. Testable fallback: the sites are named org_&lt;code&gt;_..., so check whether ADB site URLs carry a department code that could bridge until ADBMeta is populated.</t>
        </is>
      </c>
      <c r="M10" s="30" t="inlineStr">
        <is>
          <t>GROUP BY "ADBMeta"-&gt;&gt;'ADBDivisionOwner'</t>
        </is>
      </c>
    </row>
    <row r="11" ht="30" customHeight="1">
      <c r="A11" s="9" t="n">
        <v>7</v>
      </c>
      <c r="B11" s="22" t="inlineStr">
        <is>
          <t>Records Management</t>
        </is>
      </c>
      <c r="C11" s="9" t="inlineStr">
        <is>
          <t>1. Declared records vs total documents</t>
        </is>
      </c>
      <c r="D11" s="22" t="inlineStr">
        <is>
          <t>Drill level 3, Site</t>
        </is>
      </c>
      <c r="E11" s="9" t="inlineStr">
        <is>
          <t>Drill down</t>
        </is>
      </c>
      <c r="F11" s="9" t="inlineStr">
        <is>
          <t>Click a division bar</t>
        </is>
      </c>
      <c r="G11" s="9" t="inlineStr">
        <is>
          <t>Regroup by site, filtered to the chosen division.</t>
        </is>
      </c>
      <c r="H11" s="23" t="inlineStr">
        <is>
          <t>Ready today</t>
        </is>
      </c>
      <c r="I11" s="9" t="inlineStr">
        <is>
          <t>public.Records</t>
        </is>
      </c>
      <c r="J11" s="9" t="inlineStr">
        <is>
          <t>SiteName, SiteUrl</t>
        </is>
      </c>
      <c r="K11" s="9" t="inlineStr">
        <is>
          <t>Nothing needed. The data is in the EDRMS database today.</t>
        </is>
      </c>
      <c r="L11" s="9" t="inlineStr">
        <is>
          <t>Yes. Run the query against the UAT database and hand count the same figure in the test tenant. Small enough to reconcile exactly.</t>
        </is>
      </c>
      <c r="M11" s="30" t="inlineStr">
        <is>
          <t>GROUP BY "SiteUrl", "SiteName"</t>
        </is>
      </c>
    </row>
    <row r="12" ht="30" customHeight="1">
      <c r="A12" s="9" t="n">
        <v>8</v>
      </c>
      <c r="B12" s="22" t="inlineStr">
        <is>
          <t>Records Management</t>
        </is>
      </c>
      <c r="C12" s="9" t="inlineStr">
        <is>
          <t>1. Declared records vs total documents</t>
        </is>
      </c>
      <c r="D12" s="22" t="inlineStr">
        <is>
          <t>Drill level 4, Library</t>
        </is>
      </c>
      <c r="E12" s="9" t="inlineStr">
        <is>
          <t>Drill down</t>
        </is>
      </c>
      <c r="F12" s="9" t="inlineStr">
        <is>
          <t>Click a site bar</t>
        </is>
      </c>
      <c r="G12" s="9" t="inlineStr">
        <is>
          <t>Regroup by library, filtered to the chosen site. Group on ListId, not the name, because libraries can be renamed.</t>
        </is>
      </c>
      <c r="H12" s="23" t="inlineStr">
        <is>
          <t>Ready today</t>
        </is>
      </c>
      <c r="I12" s="9" t="inlineStr">
        <is>
          <t>public.Records</t>
        </is>
      </c>
      <c r="J12" s="9" t="inlineStr">
        <is>
          <t>ListId, LibraryName</t>
        </is>
      </c>
      <c r="K12" s="9" t="inlineStr">
        <is>
          <t>Nothing needed. The data is in the EDRMS database today.</t>
        </is>
      </c>
      <c r="L12" s="9" t="inlineStr">
        <is>
          <t>Yes. Run the query against the UAT database and hand count the same figure in the test tenant. Small enough to reconcile exactly.</t>
        </is>
      </c>
      <c r="M12" s="30" t="inlineStr">
        <is>
          <t>GROUP BY "ListId", "LibraryName"</t>
        </is>
      </c>
    </row>
    <row r="13" ht="33" customHeight="1">
      <c r="A13" s="9" t="n">
        <v>9</v>
      </c>
      <c r="B13" s="22" t="inlineStr">
        <is>
          <t>Records Management</t>
        </is>
      </c>
      <c r="C13" s="9" t="inlineStr">
        <is>
          <t>1. Declared records vs total documents</t>
        </is>
      </c>
      <c r="D13" s="22" t="inlineStr">
        <is>
          <t>Date range on declared records</t>
        </is>
      </c>
      <c r="E13" s="9" t="inlineStr">
        <is>
          <t>Filter</t>
        </is>
      </c>
      <c r="F13" s="9" t="inlineStr">
        <is>
          <t>mm/dd/yyyy to mm/dd/yyyy</t>
        </is>
      </c>
      <c r="G13" s="9" t="inlineStr">
        <is>
          <t>Keep only rows declared inside the range. CreatedDate is a timestamp, so the end date must include the whole day or records declared that afternoon are silently dropped.</t>
        </is>
      </c>
      <c r="H13" s="23" t="inlineStr">
        <is>
          <t>Ready today</t>
        </is>
      </c>
      <c r="I13" s="9" t="inlineStr">
        <is>
          <t>public.Records</t>
        </is>
      </c>
      <c r="J13" s="9" t="inlineStr">
        <is>
          <t>CreatedDate</t>
        </is>
      </c>
      <c r="K13" s="9" t="inlineStr">
        <is>
          <t>Nothing needed. The data is in the EDRMS database today.</t>
        </is>
      </c>
      <c r="L13" s="9" t="inlineStr">
        <is>
          <t>Yes. Run the query against the UAT database and hand count the same figure in the test tenant. Small enough to reconcile exactly.</t>
        </is>
      </c>
      <c r="M13" s="30" t="inlineStr">
        <is>
          <t>WHERE "IsDeleted" = false
  AND "CreatedDate" &gt;= :date_from
  AND "CreatedDate" &lt;  :date_to + interval '1 day'</t>
        </is>
      </c>
    </row>
    <row r="14" ht="30" customHeight="1">
      <c r="A14" s="9" t="n">
        <v>10</v>
      </c>
      <c r="B14" s="22" t="inlineStr">
        <is>
          <t>Records Management</t>
        </is>
      </c>
      <c r="C14" s="9" t="inlineStr">
        <is>
          <t>1. Declared records vs total documents</t>
        </is>
      </c>
      <c r="D14" s="22" t="inlineStr">
        <is>
          <t>In range subtotal line</t>
        </is>
      </c>
      <c r="E14" s="9" t="inlineStr">
        <is>
          <t>Text label</t>
        </is>
      </c>
      <c r="F14" s="9" t="inlineStr">
        <is>
          <t>Declared in selected range: N of 21,646</t>
        </is>
      </c>
      <c r="G14" s="9" t="inlineStr">
        <is>
          <t>The filtered count over the unfiltered count. Shown only while a range is applied.</t>
        </is>
      </c>
      <c r="H14" s="23" t="inlineStr">
        <is>
          <t>Ready today</t>
        </is>
      </c>
      <c r="I14" s="9" t="inlineStr">
        <is>
          <t>public.Records</t>
        </is>
      </c>
      <c r="J14" s="9" t="inlineStr">
        <is>
          <t>CreatedDate, ListId, ItemId, IsDeleted</t>
        </is>
      </c>
      <c r="K14" s="9" t="inlineStr">
        <is>
          <t>Nothing needed. The data is in the EDRMS database today.</t>
        </is>
      </c>
      <c r="L14" s="9" t="inlineStr">
        <is>
          <t>Yes. Run the query against the UAT database and hand count the same figure in the test tenant. Small enough to reconcile exactly.</t>
        </is>
      </c>
      <c r="M14" s="30" t="inlineStr">
        <is>
          <t>-- the filtered count above, printed against the unfiltered total</t>
        </is>
      </c>
    </row>
    <row r="15" ht="44" customHeight="1">
      <c r="A15" s="9" t="n">
        <v>11</v>
      </c>
      <c r="B15" s="22" t="inlineStr">
        <is>
          <t>Records Management</t>
        </is>
      </c>
      <c r="C15" s="9" t="inlineStr">
        <is>
          <t>1. Declared records vs total documents</t>
        </is>
      </c>
      <c r="D15" s="22" t="inlineStr">
        <is>
          <t>Total Documents in EDRMS Compliant Sites</t>
        </is>
      </c>
      <c r="E15" s="9" t="inlineStr">
        <is>
          <t>KPI card</t>
        </is>
      </c>
      <c r="F15" s="9" t="inlineStr">
        <is>
          <t>3.47M</t>
        </is>
      </c>
      <c r="G15" s="9" t="inlineStr">
        <is>
          <t>Count every document in a compliant site, declared or not. Records holds only the declared, so 3.45M of these have no row anywhere in the database today.</t>
        </is>
      </c>
      <c r="H15" s="24" t="inlineStr">
        <is>
          <t>Needs the document scan</t>
        </is>
      </c>
      <c r="I15" s="9" t="inlineStr">
        <is>
          <t>rpt.utilization_report</t>
        </is>
      </c>
      <c r="J15" s="9" t="inlineStr">
        <is>
          <t>ListId, ItemId, IsEdrmsCompliant</t>
        </is>
      </c>
      <c r="K15" s="9" t="inlineStr">
        <is>
          <t>Weekly Microsoft Graph scan of every document library in every compliant site, matched to Records on ListId + ItemId. This one job supplies every undeclared document. IsEdrmsCompliant also needs the Gap 3 rule.</t>
        </is>
      </c>
      <c r="L15" s="9" t="inlineStr">
        <is>
          <t>Yes, and this is the best thing the tenant is for. Rehearse the scan across the 22 libraries in org_csd_1.4testsite, which include permission restricted libraries and hostile filenames. A scan that survives here will survive ADB.</t>
        </is>
      </c>
      <c r="M15" s="30" t="inlineStr">
        <is>
          <t>SELECT count(*) AS total_documents
FROM rpt.utilization_report
WHERE "SnapshotDate" = (SELECT max("SnapshotDate") FROM rpt.utilization_report)
  AND "IsEdrmsCompliant" = true;</t>
        </is>
      </c>
    </row>
    <row r="16" ht="55" customHeight="1">
      <c r="A16" s="9" t="n">
        <v>12</v>
      </c>
      <c r="B16" s="22" t="inlineStr">
        <is>
          <t>Records Management</t>
        </is>
      </c>
      <c r="C16" s="9" t="inlineStr">
        <is>
          <t>1. Declared records vs total documents</t>
        </is>
      </c>
      <c r="D16" s="22" t="inlineStr">
        <is>
          <t>Documents per department</t>
        </is>
      </c>
      <c r="E16" s="9" t="inlineStr">
        <is>
          <t>Bar chart, orange</t>
        </is>
      </c>
      <c r="F16" s="9" t="inlineStr">
        <is>
          <t>16 bars, 640,000 down to 60,000</t>
        </is>
      </c>
      <c r="G16" s="9" t="inlineStr">
        <is>
          <t>The document count grouped by department.</t>
        </is>
      </c>
      <c r="H16" s="25" t="inlineStr">
        <is>
          <t>Blocked</t>
        </is>
      </c>
      <c r="I16" s="9" t="inlineStr">
        <is>
          <t>rpt.utilization_report</t>
        </is>
      </c>
      <c r="J16" s="9" t="inlineStr">
        <is>
          <t>ADBDepartmentOwner</t>
        </is>
      </c>
      <c r="K16" s="9" t="inlineStr">
        <is>
          <t>Gap 1. ADBMeta is marked Future Enhancement and is empty. Attach the department to the SITE in the Site Activity Table, about 1,057 values, and let documents inherit it. Check AvePoint Cloud Governance first: it may already hold it from provisioning. Weekly Microsoft Graph scan of every document library in every compliant site, matched to Records on ListId + ItemId. This one job supplies every undeclared document.</t>
        </is>
      </c>
      <c r="L16" s="9" t="inlineStr">
        <is>
          <t>Partly. The connector cannot read managed metadata, so the term store link cannot be confirmed here. Testable fallback: the sites are named org_&lt;code&gt;_..., so check whether ADB site URLs carry a department code that could bridge until ADBMeta is populated.</t>
        </is>
      </c>
      <c r="M16" s="30" t="inlineStr">
        <is>
          <t>SELECT "ADBDepartmentOwner", count(*) AS documents
FROM rpt.utilization_report
WHERE "SnapshotDate" = (SELECT max("SnapshotDate") FROM rpt.utilization_report)
  AND "IsEdrmsCompliant" = true
GROUP BY 1 ORDER BY 2 DESC;</t>
        </is>
      </c>
    </row>
    <row r="17" ht="30" customHeight="1">
      <c r="A17" s="9" t="n">
        <v>13</v>
      </c>
      <c r="B17" s="22" t="inlineStr">
        <is>
          <t>Records Management</t>
        </is>
      </c>
      <c r="C17" s="9" t="inlineStr">
        <is>
          <t>1. Declared records vs total documents</t>
        </is>
      </c>
      <c r="D17" s="22" t="inlineStr">
        <is>
          <t>Drill down, all four levels, documents panel</t>
        </is>
      </c>
      <c r="E17" s="9" t="inlineStr">
        <is>
          <t>Drill down</t>
        </is>
      </c>
      <c r="F17" s="9" t="inlineStr">
        <is>
          <t>Department to library</t>
        </is>
      </c>
      <c r="G17" s="9" t="inlineStr">
        <is>
          <t>Same four levels as the declared panel, over all documents rather than declared ones.</t>
        </is>
      </c>
      <c r="H17" s="24" t="inlineStr">
        <is>
          <t>Needs the document scan</t>
        </is>
      </c>
      <c r="I17" s="9" t="inlineStr">
        <is>
          <t>rpt.utilization_report</t>
        </is>
      </c>
      <c r="J17" s="9" t="inlineStr">
        <is>
          <t>ADBDepartmentOwner, ADBDivisionOwner, SiteName, ListId</t>
        </is>
      </c>
      <c r="K17" s="9" t="inlineStr">
        <is>
          <t>Gap 1. ADBMeta is marked Future Enhancement and is empty. Attach the department to the SITE in the Site Activity Table, about 1,057 values, and let documents inherit it. Check AvePoint Cloud Governance first: it may already hold it from provisioning. Weekly Microsoft Graph scan of every document library in every compliant site, matched to Records on ListId + ItemId. This one job supplies every undeclared document.</t>
        </is>
      </c>
      <c r="L17" s="9" t="inlineStr">
        <is>
          <t>Partly. The connector cannot read managed metadata, so the term store link cannot be confirmed here. Testable fallback: the sites are named org_&lt;code&gt;_..., so check whether ADB site URLs carry a department code that could bridge until ADBMeta is populated.</t>
        </is>
      </c>
      <c r="M17" s="30" t="inlineStr">
        <is>
          <t>GROUP BY the level being shown, same pattern as the declared panel</t>
        </is>
      </c>
    </row>
    <row r="18" ht="30" customHeight="1">
      <c r="A18" s="9" t="n">
        <v>14</v>
      </c>
      <c r="B18" s="22" t="inlineStr">
        <is>
          <t>Records Management</t>
        </is>
      </c>
      <c r="C18" s="9" t="inlineStr">
        <is>
          <t>1. Declared records vs total documents</t>
        </is>
      </c>
      <c r="D18" s="22" t="inlineStr">
        <is>
          <t>Date range on total documents</t>
        </is>
      </c>
      <c r="E18" s="9" t="inlineStr">
        <is>
          <t>Filter</t>
        </is>
      </c>
      <c r="F18" s="9" t="inlineStr">
        <is>
          <t>Independent of the declared date range</t>
        </is>
      </c>
      <c r="G18" s="9" t="inlineStr">
        <is>
          <t>Keep only documents created inside the range. Reads FileCreatedDate, not CreatedDate: an undeclared document has no declaration date, so filtering on CreatedDate would drop all 3.45M of them.</t>
        </is>
      </c>
      <c r="H18" s="24" t="inlineStr">
        <is>
          <t>Needs the document scan</t>
        </is>
      </c>
      <c r="I18" s="9" t="inlineStr">
        <is>
          <t>rpt.utilization_report</t>
        </is>
      </c>
      <c r="J18" s="9" t="inlineStr">
        <is>
          <t>FileCreatedDate</t>
        </is>
      </c>
      <c r="K18" s="9" t="inlineStr">
        <is>
          <t>Weekly Microsoft Graph scan of every document library in every compliant site, matched to Records on ListId + ItemId. This one job supplies every undeclared document.</t>
        </is>
      </c>
      <c r="L18" s="9" t="inlineStr">
        <is>
          <t>Yes, and this is the best thing the tenant is for. Rehearse the scan across the 22 libraries in org_csd_1.4testsite, which include permission restricted libraries and hostile filenames. A scan that survives here will survive ADB.</t>
        </is>
      </c>
      <c r="M18" s="30" t="inlineStr">
        <is>
          <t>... AND "FileCreatedDate" &gt;= :date_from
    AND "FileCreatedDate" &lt;  :date_to + interval '1 day'</t>
        </is>
      </c>
    </row>
    <row r="19" ht="33" customHeight="1">
      <c r="A19" s="9" t="n">
        <v>15</v>
      </c>
      <c r="B19" s="22" t="inlineStr">
        <is>
          <t>Records Management</t>
        </is>
      </c>
      <c r="C19" s="9" t="inlineStr">
        <is>
          <t>2. SharePoint sites and users governance</t>
        </is>
      </c>
      <c r="D19" s="22" t="inlineStr">
        <is>
          <t>Active Departmental Sites</t>
        </is>
      </c>
      <c r="E19" s="9" t="inlineStr">
        <is>
          <t>KPI card</t>
        </is>
      </c>
      <c r="F19" s="9" t="inlineStr">
        <is>
          <t>Count of active sites</t>
        </is>
      </c>
      <c r="G19" s="9" t="inlineStr">
        <is>
          <t>Sites with at least one visit in the chosen window.</t>
        </is>
      </c>
      <c r="H19" s="24" t="inlineStr">
        <is>
          <t>Needs the usage feed</t>
        </is>
      </c>
      <c r="I19" s="9" t="inlineStr">
        <is>
          <t>rpt.utilization_site_activity</t>
        </is>
      </c>
      <c r="J19" s="9" t="inlineStr">
        <is>
          <t>SiteVisits7 / SiteVisits30 / SiteVisits90</t>
        </is>
      </c>
      <c r="K19" s="9" t="inlineStr">
        <is>
          <t>Microsoft 365 admin centre, Reports, Usage, SharePoint site usage. Or the Graph reports API getSharePointSiteUsageDetail(period='D7'/'D30'/'D90'). Written weekly into the Site Activity Table.</t>
        </is>
      </c>
      <c r="L19" s="9" t="inlineStr">
        <is>
          <t>No. Usage data in a test tenant is a handful of test users clicking around, so the numbers carry no meaning. Needs the real tenant and admin rights.</t>
        </is>
      </c>
      <c r="M19" s="30" t="inlineStr">
        <is>
          <t>SELECT count(*) FROM rpt.utilization_site_activity
WHERE "SnapshotDate" = (SELECT max("SnapshotDate") FROM rpt.utilization_site_activity)
  AND "SiteVisits30" &gt; 0;</t>
        </is>
      </c>
    </row>
    <row r="20" ht="44" customHeight="1">
      <c r="A20" s="9" t="n">
        <v>16</v>
      </c>
      <c r="B20" s="22" t="inlineStr">
        <is>
          <t>Records Management</t>
        </is>
      </c>
      <c r="C20" s="9" t="inlineStr">
        <is>
          <t>2. SharePoint sites and users governance</t>
        </is>
      </c>
      <c r="D20" s="22" t="inlineStr">
        <is>
          <t>Sites ranked by site visits</t>
        </is>
      </c>
      <c r="E20" s="9" t="inlineStr">
        <is>
          <t>Bar chart, green</t>
        </is>
      </c>
      <c r="F20" s="9" t="inlineStr">
        <is>
          <t>Top sites by visits</t>
        </is>
      </c>
      <c r="G20" s="9" t="inlineStr">
        <is>
          <t>Order sites by visits in the chosen window.</t>
        </is>
      </c>
      <c r="H20" s="24" t="inlineStr">
        <is>
          <t>Needs the usage feed</t>
        </is>
      </c>
      <c r="I20" s="9" t="inlineStr">
        <is>
          <t>rpt.utilization_site_activity</t>
        </is>
      </c>
      <c r="J20" s="9" t="inlineStr">
        <is>
          <t>SiteName, SiteVisits7 / 30 / 90</t>
        </is>
      </c>
      <c r="K20" s="9" t="inlineStr">
        <is>
          <t>Microsoft 365 admin centre, Reports, Usage, SharePoint site usage. Or the Graph reports API getSharePointSiteUsageDetail(period='D7'/'D30'/'D90'). Written weekly into the Site Activity Table.</t>
        </is>
      </c>
      <c r="L20" s="9" t="inlineStr">
        <is>
          <t>No. Usage data in a test tenant is a handful of test users clicking around, so the numbers carry no meaning. Needs the real tenant and admin rights.</t>
        </is>
      </c>
      <c r="M20" s="30" t="inlineStr">
        <is>
          <t>SELECT "SiteName", "SiteVisits30"
FROM rpt.utilization_site_activity
WHERE "SnapshotDate" = (SELECT max("SnapshotDate") FROM rpt.utilization_site_activity)
ORDER BY "SiteVisits30" DESC;</t>
        </is>
      </c>
    </row>
    <row r="21" ht="30" customHeight="1">
      <c r="A21" s="9" t="n">
        <v>17</v>
      </c>
      <c r="B21" s="22" t="inlineStr">
        <is>
          <t>Records Management</t>
        </is>
      </c>
      <c r="C21" s="9" t="inlineStr">
        <is>
          <t>2. SharePoint sites and users governance</t>
        </is>
      </c>
      <c r="D21" s="22" t="inlineStr">
        <is>
          <t>Last activity beside each site</t>
        </is>
      </c>
      <c r="E21" s="9" t="inlineStr">
        <is>
          <t>Text label</t>
        </is>
      </c>
      <c r="F21" s="9" t="inlineStr">
        <is>
          <t>24 Jul 2026</t>
        </is>
      </c>
      <c r="G21" s="9" t="inlineStr">
        <is>
          <t>The most recent activity date for that site.</t>
        </is>
      </c>
      <c r="H21" s="24" t="inlineStr">
        <is>
          <t>Needs the usage feed</t>
        </is>
      </c>
      <c r="I21" s="9" t="inlineStr">
        <is>
          <t>rpt.utilization_site_activity</t>
        </is>
      </c>
      <c r="J21" s="9" t="inlineStr">
        <is>
          <t>LastActivityDate</t>
        </is>
      </c>
      <c r="K21" s="9" t="inlineStr">
        <is>
          <t>Microsoft 365 admin centre, Reports, Usage, SharePoint site usage. Or the Graph reports API getSharePointSiteUsageDetail(period='D7'/'D30'/'D90'). Written weekly into the Site Activity Table.</t>
        </is>
      </c>
      <c r="L21" s="9" t="inlineStr">
        <is>
          <t>No. Usage data in a test tenant is a handful of test users clicking around, so the numbers carry no meaning. Needs the real tenant and admin rights.</t>
        </is>
      </c>
      <c r="M21" s="30" t="inlineStr">
        <is>
          <t>SELECT "SiteName", "LastActivityDate" FROM rpt.utilization_site_activity</t>
        </is>
      </c>
    </row>
    <row r="22" ht="30" customHeight="1">
      <c r="A22" s="9" t="n">
        <v>18</v>
      </c>
      <c r="B22" s="22" t="inlineStr">
        <is>
          <t>Records Management</t>
        </is>
      </c>
      <c r="C22" s="9" t="inlineStr">
        <is>
          <t>2. SharePoint sites and users governance</t>
        </is>
      </c>
      <c r="D22" s="22" t="inlineStr">
        <is>
          <t>7 / 30 / 90 day window buttons</t>
        </is>
      </c>
      <c r="E22" s="9" t="inlineStr">
        <is>
          <t>Filter</t>
        </is>
      </c>
      <c r="F22" s="9" t="inlineStr">
        <is>
          <t>Three buttons</t>
        </is>
      </c>
      <c r="G22" s="9" t="inlineStr">
        <is>
          <t>Switch which of the three visit columns the chart reads. The windows are stored as separate columns, not computed on the fly, because Microsoft returns them that way.</t>
        </is>
      </c>
      <c r="H22" s="24" t="inlineStr">
        <is>
          <t>Needs the usage feed</t>
        </is>
      </c>
      <c r="I22" s="9" t="inlineStr">
        <is>
          <t>rpt.utilization_site_activity</t>
        </is>
      </c>
      <c r="J22" s="9" t="inlineStr">
        <is>
          <t>SiteVisits7, SiteVisits30, SiteVisits90</t>
        </is>
      </c>
      <c r="K22" s="9" t="inlineStr">
        <is>
          <t>Microsoft 365 admin centre, Reports, Usage, SharePoint site usage. Or the Graph reports API getSharePointSiteUsageDetail(period='D7'/'D30'/'D90'). Written weekly into the Site Activity Table.</t>
        </is>
      </c>
      <c r="L22" s="9" t="inlineStr">
        <is>
          <t>No. Usage data in a test tenant is a handful of test users clicking around, so the numbers carry no meaning. Needs the real tenant and admin rights.</t>
        </is>
      </c>
      <c r="M22" s="30" t="inlineStr">
        <is>
          <t>-- select the column matching the chosen window</t>
        </is>
      </c>
    </row>
    <row r="23" ht="30" customHeight="1">
      <c r="A23" s="9" t="n">
        <v>19</v>
      </c>
      <c r="B23" s="22" t="inlineStr">
        <is>
          <t>Records Management</t>
        </is>
      </c>
      <c r="C23" s="9" t="inlineStr">
        <is>
          <t>2. SharePoint sites and users governance</t>
        </is>
      </c>
      <c r="D23" s="22" t="inlineStr">
        <is>
          <t>Department filter</t>
        </is>
      </c>
      <c r="E23" s="9" t="inlineStr">
        <is>
          <t>Filter</t>
        </is>
      </c>
      <c r="F23" s="9" t="inlineStr">
        <is>
          <t>All departments dropdown</t>
        </is>
      </c>
      <c r="G23" s="9" t="inlineStr">
        <is>
          <t>Restrict the chart to one department.</t>
        </is>
      </c>
      <c r="H23" s="25" t="inlineStr">
        <is>
          <t>Blocked</t>
        </is>
      </c>
      <c r="I23" s="9" t="inlineStr">
        <is>
          <t>rpt.utilization_site_activity</t>
        </is>
      </c>
      <c r="J23" s="9" t="inlineStr">
        <is>
          <t>ADBDepartmentOwner</t>
        </is>
      </c>
      <c r="K23" s="9" t="inlineStr">
        <is>
          <t>Gap 1. ADBMeta is marked Future Enhancement and is empty. Attach the department to the SITE in the Site Activity Table, about 1,057 values, and let documents inherit it. Check AvePoint Cloud Governance first: it may already hold it from provisioning.</t>
        </is>
      </c>
      <c r="L23" s="9" t="inlineStr">
        <is>
          <t>Partly. The connector cannot read managed metadata, so the term store link cannot be confirmed here. Testable fallback: the sites are named org_&lt;code&gt;_..., so check whether ADB site URLs carry a department code that could bridge until ADBMeta is populated.</t>
        </is>
      </c>
      <c r="M23" s="30" t="inlineStr">
        <is>
          <t>WHERE "ADBDepartmentOwner" = :department</t>
        </is>
      </c>
    </row>
    <row r="24" ht="30" customHeight="1">
      <c r="A24" s="9" t="n">
        <v>20</v>
      </c>
      <c r="B24" s="22" t="inlineStr">
        <is>
          <t>Records Management</t>
        </is>
      </c>
      <c r="C24" s="9" t="inlineStr">
        <is>
          <t>2. SharePoint sites and users governance</t>
        </is>
      </c>
      <c r="D24" s="22" t="inlineStr">
        <is>
          <t>Active Users</t>
        </is>
      </c>
      <c r="E24" s="9" t="inlineStr">
        <is>
          <t>KPI card</t>
        </is>
      </c>
      <c r="F24" s="9" t="inlineStr">
        <is>
          <t>Unique viewers</t>
        </is>
      </c>
      <c r="G24" s="9" t="inlineStr">
        <is>
          <t>Distinct people who viewed content in the chosen window.</t>
        </is>
      </c>
      <c r="H24" s="24" t="inlineStr">
        <is>
          <t>Needs the usage feed</t>
        </is>
      </c>
      <c r="I24" s="9" t="inlineStr">
        <is>
          <t>rpt.utilization_site_activity</t>
        </is>
      </c>
      <c r="J24" s="9" t="inlineStr">
        <is>
          <t>UniqueViewers7, UniqueViewers30</t>
        </is>
      </c>
      <c r="K24" s="9" t="inlineStr">
        <is>
          <t>Microsoft 365 admin centre, Reports, Usage, SharePoint site usage. Or the Graph reports API getSharePointSiteUsageDetail(period='D7'/'D30'/'D90'). Written weekly into the Site Activity Table.</t>
        </is>
      </c>
      <c r="L24" s="9" t="inlineStr">
        <is>
          <t>No. Usage data in a test tenant is a handful of test users clicking around, so the numbers carry no meaning. Needs the real tenant and admin rights.</t>
        </is>
      </c>
      <c r="M24" s="30" t="inlineStr">
        <is>
          <t>SELECT sum("UniqueViewers30") FROM rpt.utilization_site_activity
WHERE "SnapshotDate" = (SELECT max("SnapshotDate") FROM rpt.utilization_site_activity);</t>
        </is>
      </c>
    </row>
    <row r="25" ht="30" customHeight="1">
      <c r="A25" s="9" t="n">
        <v>21</v>
      </c>
      <c r="B25" s="22" t="inlineStr">
        <is>
          <t>Records Management</t>
        </is>
      </c>
      <c r="C25" s="9" t="inlineStr">
        <is>
          <t>2. SharePoint sites and users governance</t>
        </is>
      </c>
      <c r="D25" s="22" t="inlineStr">
        <is>
          <t>Unique viewers per site</t>
        </is>
      </c>
      <c r="E25" s="9" t="inlineStr">
        <is>
          <t>Bar chart, deep blue</t>
        </is>
      </c>
      <c r="F25" s="9" t="inlineStr">
        <is>
          <t>Sites by viewer count</t>
        </is>
      </c>
      <c r="G25" s="9" t="inlineStr">
        <is>
          <t>Order sites by unique viewers.</t>
        </is>
      </c>
      <c r="H25" s="24" t="inlineStr">
        <is>
          <t>Needs the usage feed</t>
        </is>
      </c>
      <c r="I25" s="9" t="inlineStr">
        <is>
          <t>rpt.utilization_site_activity</t>
        </is>
      </c>
      <c r="J25" s="9" t="inlineStr">
        <is>
          <t>SiteName, UniqueViewers7 / 30</t>
        </is>
      </c>
      <c r="K25" s="9" t="inlineStr">
        <is>
          <t>Microsoft 365 admin centre, Reports, Usage, SharePoint site usage. Or the Graph reports API getSharePointSiteUsageDetail(period='D7'/'D30'/'D90'). Written weekly into the Site Activity Table.</t>
        </is>
      </c>
      <c r="L25" s="9" t="inlineStr">
        <is>
          <t>No. Usage data in a test tenant is a handful of test users clicking around, so the numbers carry no meaning. Needs the real tenant and admin rights.</t>
        </is>
      </c>
      <c r="M25" s="30" t="inlineStr">
        <is>
          <t>SELECT "SiteName", "UniqueViewers30" FROM rpt.utilization_site_activity ORDER BY 2 DESC;</t>
        </is>
      </c>
    </row>
    <row r="26" ht="30" customHeight="1">
      <c r="A26" s="9" t="n">
        <v>22</v>
      </c>
      <c r="B26" s="22" t="inlineStr">
        <is>
          <t>Records Management</t>
        </is>
      </c>
      <c r="C26" s="9" t="inlineStr">
        <is>
          <t>2. SharePoint sites and users governance</t>
        </is>
      </c>
      <c r="D26" s="22" t="inlineStr">
        <is>
          <t>90 day fallback note</t>
        </is>
      </c>
      <c r="E26" s="9" t="inlineStr">
        <is>
          <t>Amber note</t>
        </is>
      </c>
      <c r="F26" s="9" t="inlineStr">
        <is>
          <t>Falls back to site visits</t>
        </is>
      </c>
      <c r="G26" s="9" t="inlineStr">
        <is>
          <t>Microsoft does not return unique viewers at 90 days. The dashboard shows site visits instead and says so.</t>
        </is>
      </c>
      <c r="H26" s="24" t="inlineStr">
        <is>
          <t>Needs the usage feed</t>
        </is>
      </c>
      <c r="I26" s="9" t="inlineStr">
        <is>
          <t>rpt.utilization_site_activity</t>
        </is>
      </c>
      <c r="J26" s="9" t="inlineStr">
        <is>
          <t>UniqueViewers90</t>
        </is>
      </c>
      <c r="K26" s="9" t="inlineStr">
        <is>
          <t>Not obtainable from Microsoft. Keep the column so the gap stays visible rather than silently becoming a zero.</t>
        </is>
      </c>
      <c r="L26" s="9" t="inlineStr">
        <is>
          <t>No. Usage data in a test tenant is a handful of test users clicking around, so the numbers carry no meaning. Needs the real tenant and admin rights.</t>
        </is>
      </c>
      <c r="M26" s="30" t="inlineStr">
        <is>
          <t>-- UniqueViewers90 is null by design</t>
        </is>
      </c>
    </row>
    <row r="27" ht="33" customHeight="1">
      <c r="A27" s="28" t="n">
        <v>23</v>
      </c>
      <c r="B27" s="29" t="inlineStr">
        <is>
          <t>Sites and Libraries</t>
        </is>
      </c>
      <c r="C27" s="28" t="inlineStr">
        <is>
          <t>1. Compliant site rollout</t>
        </is>
      </c>
      <c r="D27" s="22" t="inlineStr">
        <is>
          <t>Total EDRMS Compliant Sites Created</t>
        </is>
      </c>
      <c r="E27" s="9" t="inlineStr">
        <is>
          <t>KPI card</t>
        </is>
      </c>
      <c r="F27" s="9" t="inlineStr">
        <is>
          <t>1,057</t>
        </is>
      </c>
      <c r="G27" s="9" t="inlineStr">
        <is>
          <t>Count the sites flagged compliant. Counted from the SITE table, not from documents, because a site with no documents in it would otherwise be invisible and the count would run low.</t>
        </is>
      </c>
      <c r="H27" s="25" t="inlineStr">
        <is>
          <t>Blocked</t>
        </is>
      </c>
      <c r="I27" s="9" t="inlineStr">
        <is>
          <t>rpt.utilization_site_activity</t>
        </is>
      </c>
      <c r="J27" s="9" t="inlineStr">
        <is>
          <t>IsEdrmsCompliant</t>
        </is>
      </c>
      <c r="K27" s="9" t="inlineStr">
        <is>
          <t>Gap 3. No system holds this, it is a definition. RAC picks one of three: a maintained list of compliant site URLs, a site template check, or an AvePoint Cloud Governance flag.</t>
        </is>
      </c>
      <c r="L27" s="9" t="inlineStr">
        <is>
          <t>YES, and this is the highest value test available. org_csd_1.4testsite contains 'No mapping library1', a real library full of real documents where declaration FAILS with 'No Library and Retention Label Mapping found'. Count documents in mapped versus unmapped libraries and put both numbers to RAC.</t>
        </is>
      </c>
      <c r="M27" s="30" t="inlineStr">
        <is>
          <t>SELECT count(*) FROM rpt.utilization_site_activity
WHERE "SnapshotDate" = (SELECT max("SnapshotDate") FROM rpt.utilization_site_activity)
  AND "IsEdrmsCompliant" = true;</t>
        </is>
      </c>
    </row>
    <row r="28" ht="44" customHeight="1">
      <c r="A28" s="9" t="n">
        <v>24</v>
      </c>
      <c r="B28" s="22" t="inlineStr">
        <is>
          <t>Sites and Libraries</t>
        </is>
      </c>
      <c r="C28" s="9" t="inlineStr">
        <is>
          <t>1. Compliant site rollout</t>
        </is>
      </c>
      <c r="D28" s="22" t="inlineStr">
        <is>
          <t>Sites created by department</t>
        </is>
      </c>
      <c r="E28" s="9" t="inlineStr">
        <is>
          <t>Treemap</t>
        </is>
      </c>
      <c r="F28" s="9" t="inlineStr">
        <is>
          <t>15 blocks, shaded by count</t>
        </is>
      </c>
      <c r="G28" s="9" t="inlineStr">
        <is>
          <t>The site count grouped by department, sized and shaded by the count.</t>
        </is>
      </c>
      <c r="H28" s="25" t="inlineStr">
        <is>
          <t>Blocked</t>
        </is>
      </c>
      <c r="I28" s="9" t="inlineStr">
        <is>
          <t>rpt.utilization_site_activity</t>
        </is>
      </c>
      <c r="J28" s="9" t="inlineStr">
        <is>
          <t>ADBDepartmentOwner, IsEdrmsCompliant</t>
        </is>
      </c>
      <c r="K28" s="9" t="inlineStr">
        <is>
          <t>Gap 1. ADBMeta is marked Future Enhancement and is empty. Attach the department to the SITE in the Site Activity Table, about 1,057 values, and let documents inherit it. Check AvePoint Cloud Governance first: it may already hold it from provisioning. Gap 3. No system holds this, it is a definition. RAC picks one of three: a maintained list of compliant site URLs, a site template check, or an AvePoint Cloud Governance flag.</t>
        </is>
      </c>
      <c r="L28" s="9" t="inlineStr">
        <is>
          <t>Partly. The connector cannot read managed metadata, so the term store link cannot be confirmed here. Testable fallback: the sites are named org_&lt;code&gt;_..., so check whether ADB site URLs carry a department code that could bridge until ADBMeta is populated.</t>
        </is>
      </c>
      <c r="M28" s="30" t="inlineStr">
        <is>
          <t>SELECT "ADBDepartmentOwner", count(*) AS sites
FROM rpt.utilization_site_activity
WHERE "IsEdrmsCompliant" = true
GROUP BY 1 ORDER BY 2 DESC;</t>
        </is>
      </c>
    </row>
    <row r="29" ht="30" customHeight="1">
      <c r="A29" s="9" t="n">
        <v>25</v>
      </c>
      <c r="B29" s="22" t="inlineStr">
        <is>
          <t>Sites and Libraries</t>
        </is>
      </c>
      <c r="C29" s="9" t="inlineStr">
        <is>
          <t>1. Compliant site rollout</t>
        </is>
      </c>
      <c r="D29" s="22" t="inlineStr">
        <is>
          <t>All time total tile</t>
        </is>
      </c>
      <c r="E29" s="9" t="inlineStr">
        <is>
          <t>Summary tile</t>
        </is>
      </c>
      <c r="F29" s="9" t="inlineStr">
        <is>
          <t>1,057</t>
        </is>
      </c>
      <c r="G29" s="9" t="inlineStr">
        <is>
          <t>The unfiltered site count.</t>
        </is>
      </c>
      <c r="H29" s="25" t="inlineStr">
        <is>
          <t>Blocked</t>
        </is>
      </c>
      <c r="I29" s="9" t="inlineStr">
        <is>
          <t>rpt.utilization_site_activity</t>
        </is>
      </c>
      <c r="J29" s="9" t="inlineStr">
        <is>
          <t>IsEdrmsCompliant</t>
        </is>
      </c>
      <c r="K29" s="9" t="inlineStr">
        <is>
          <t>Gap 3. No system holds this, it is a definition. RAC picks one of three: a maintained list of compliant site URLs, a site template check, or an AvePoint Cloud Governance flag.</t>
        </is>
      </c>
      <c r="L29" s="9" t="inlineStr">
        <is>
          <t>No. The connector lists a site's libraries but not the site's own properties. Read the created date from the SharePoint admin centre instead, Active sites, Created column.</t>
        </is>
      </c>
      <c r="M29" s="30" t="inlineStr">
        <is>
          <t>-- the KPI query above, unfiltered</t>
        </is>
      </c>
    </row>
    <row r="30" ht="30" customHeight="1">
      <c r="A30" s="9" t="n">
        <v>26</v>
      </c>
      <c r="B30" s="22" t="inlineStr">
        <is>
          <t>Sites and Libraries</t>
        </is>
      </c>
      <c r="C30" s="9" t="inlineStr">
        <is>
          <t>1. Compliant site rollout</t>
        </is>
      </c>
      <c r="D30" s="22" t="inlineStr">
        <is>
          <t>In range total tile</t>
        </is>
      </c>
      <c r="E30" s="9" t="inlineStr">
        <is>
          <t>Summary tile</t>
        </is>
      </c>
      <c r="F30" s="9" t="inlineStr">
        <is>
          <t>Sites created in the range</t>
        </is>
      </c>
      <c r="G30" s="9" t="inlineStr">
        <is>
          <t>The site count restricted to the date range. Blocks across both pages of the treemap add up to this tile.</t>
        </is>
      </c>
      <c r="H30" s="25" t="inlineStr">
        <is>
          <t>Blocked</t>
        </is>
      </c>
      <c r="I30" s="9" t="inlineStr">
        <is>
          <t>rpt.utilization_site_activity</t>
        </is>
      </c>
      <c r="J30" s="9" t="inlineStr">
        <is>
          <t>SiteCreatedDate, IsEdrmsCompliant</t>
        </is>
      </c>
      <c r="K30" s="9" t="inlineStr">
        <is>
          <t>Gap 3. SharePoint admin centre, Active sites, the Created column, exportable to CSV. Or Microsoft Graph /sites createdDateTime. Or AvePoint Cloud Governance provisioning date.</t>
        </is>
      </c>
      <c r="L30" s="9" t="inlineStr">
        <is>
          <t>No. The connector lists a site's libraries but not the site's own properties. Read the created date from the SharePoint admin centre instead, Active sites, Created column.</t>
        </is>
      </c>
      <c r="M30" s="30" t="inlineStr">
        <is>
          <t>WHERE "SiteCreatedDate" BETWEEN :date_from AND :date_to</t>
        </is>
      </c>
    </row>
    <row r="31" ht="30" customHeight="1">
      <c r="A31" s="9" t="n">
        <v>27</v>
      </c>
      <c r="B31" s="22" t="inlineStr">
        <is>
          <t>Sites and Libraries</t>
        </is>
      </c>
      <c r="C31" s="9" t="inlineStr">
        <is>
          <t>1. Compliant site rollout</t>
        </is>
      </c>
      <c r="D31" s="22" t="inlineStr">
        <is>
          <t>Date range on the treemap</t>
        </is>
      </c>
      <c r="E31" s="9" t="inlineStr">
        <is>
          <t>Filter</t>
        </is>
      </c>
      <c r="F31" s="9" t="inlineStr">
        <is>
          <t>Sits at the right of the tiles row</t>
        </is>
      </c>
      <c r="G31" s="9" t="inlineStr">
        <is>
          <t>Keep only sites created inside the range.</t>
        </is>
      </c>
      <c r="H31" s="25" t="inlineStr">
        <is>
          <t>Blocked</t>
        </is>
      </c>
      <c r="I31" s="9" t="inlineStr">
        <is>
          <t>rpt.utilization_site_activity</t>
        </is>
      </c>
      <c r="J31" s="9" t="inlineStr">
        <is>
          <t>SiteCreatedDate</t>
        </is>
      </c>
      <c r="K31" s="9" t="inlineStr">
        <is>
          <t>Gap 3. SharePoint admin centre, Active sites, the Created column, exportable to CSV. Or Microsoft Graph /sites createdDateTime. Or AvePoint Cloud Governance provisioning date.</t>
        </is>
      </c>
      <c r="L31" s="9" t="inlineStr">
        <is>
          <t>No. The connector lists a site's libraries but not the site's own properties. Read the created date from the SharePoint admin centre instead, Active sites, Created column.</t>
        </is>
      </c>
      <c r="M31" s="30" t="inlineStr">
        <is>
          <t>WHERE "SiteCreatedDate" &gt;= :date_from AND "SiteCreatedDate" &lt;= :date_to</t>
        </is>
      </c>
    </row>
    <row r="32" ht="77" customHeight="1">
      <c r="A32" s="9" t="n">
        <v>28</v>
      </c>
      <c r="B32" s="22" t="inlineStr">
        <is>
          <t>Sites and Libraries</t>
        </is>
      </c>
      <c r="C32" s="9" t="inlineStr">
        <is>
          <t>2. Library adoption and volume</t>
        </is>
      </c>
      <c r="D32" s="22" t="inlineStr">
        <is>
          <t>Libraries Declaration Rate</t>
        </is>
      </c>
      <c r="E32" s="9" t="inlineStr">
        <is>
          <t>KPI card</t>
        </is>
      </c>
      <c r="F32" s="9" t="inlineStr">
        <is>
          <t>4,283</t>
        </is>
      </c>
      <c r="G32" s="9" t="inlineStr">
        <is>
          <t>Per library, the declared count over the total document count. Needs both halves: the declared half exists today, the total does not.</t>
        </is>
      </c>
      <c r="H32" s="24" t="inlineStr">
        <is>
          <t>Needs the document scan</t>
        </is>
      </c>
      <c r="I32" s="9" t="inlineStr">
        <is>
          <t>rpt.utilization_report</t>
        </is>
      </c>
      <c r="J32" s="9" t="inlineStr">
        <is>
          <t>ListId, IsDeclaredRecord</t>
        </is>
      </c>
      <c r="K32" s="9" t="inlineStr">
        <is>
          <t>Weekly Microsoft Graph scan of every document library in every compliant site, matched to Records on ListId + ItemId. This one job supplies every undeclared document.</t>
        </is>
      </c>
      <c r="L32" s="9" t="inlineStr">
        <is>
          <t>Yes, and this is the best thing the tenant is for. Rehearse the scan across the 22 libraries in org_csd_1.4testsite, which include permission restricted libraries and hostile filenames. A scan that survives here will survive ADB.</t>
        </is>
      </c>
      <c r="M32" s="30" t="inlineStr">
        <is>
          <t>SELECT "ListId", "LibraryName",
       count(*) AS documents,
       count(*) FILTER (WHERE "IsDeclaredRecord") AS declared,
       round(100.0 * count(*) FILTER (WHERE "IsDeclaredRecord") / nullif(count(*),0), 1) AS rate_pct
FROM rpt.utilization_report
WHERE "SnapshotDate" = (SELECT max("SnapshotDate") FROM rpt.utilization_report)
GROUP BY 1,2;</t>
        </is>
      </c>
    </row>
    <row r="33" ht="30" customHeight="1">
      <c r="A33" s="9" t="n">
        <v>29</v>
      </c>
      <c r="B33" s="22" t="inlineStr">
        <is>
          <t>Sites and Libraries</t>
        </is>
      </c>
      <c r="C33" s="9" t="inlineStr">
        <is>
          <t>2. Library adoption and volume</t>
        </is>
      </c>
      <c r="D33" s="22" t="inlineStr">
        <is>
          <t>Declared over not yet declared per library</t>
        </is>
      </c>
      <c r="E33" s="9" t="inlineStr">
        <is>
          <t>Stacked bar chart</t>
        </is>
      </c>
      <c r="F33" s="9" t="inlineStr">
        <is>
          <t>15 libraries</t>
        </is>
      </c>
      <c r="G33" s="9" t="inlineStr">
        <is>
          <t>The two halves of the rate, drawn as one bar sized to total documents.</t>
        </is>
      </c>
      <c r="H33" s="24" t="inlineStr">
        <is>
          <t>Needs the document scan</t>
        </is>
      </c>
      <c r="I33" s="9" t="inlineStr">
        <is>
          <t>rpt.utilization_report</t>
        </is>
      </c>
      <c r="J33" s="9" t="inlineStr">
        <is>
          <t>ListId, LibraryName, IsDeclaredRecord</t>
        </is>
      </c>
      <c r="K33" s="9" t="inlineStr">
        <is>
          <t>Weekly Microsoft Graph scan of every document library in every compliant site, matched to Records on ListId + ItemId. This one job supplies every undeclared document.</t>
        </is>
      </c>
      <c r="L33" s="9" t="inlineStr">
        <is>
          <t>Yes, and this is the best thing the tenant is for. Rehearse the scan across the 22 libraries in org_csd_1.4testsite, which include permission restricted libraries and hostile filenames. A scan that survives here will survive ADB.</t>
        </is>
      </c>
      <c r="M33" s="30" t="inlineStr">
        <is>
          <t>-- the query above, drawn as two segments</t>
        </is>
      </c>
    </row>
    <row r="34" ht="30" customHeight="1">
      <c r="A34" s="9" t="n">
        <v>30</v>
      </c>
      <c r="B34" s="22" t="inlineStr">
        <is>
          <t>Sites and Libraries</t>
        </is>
      </c>
      <c r="C34" s="9" t="inlineStr">
        <is>
          <t>2. Library adoption and volume</t>
        </is>
      </c>
      <c r="D34" s="22" t="inlineStr">
        <is>
          <t>Parent site under each library name</t>
        </is>
      </c>
      <c r="E34" s="9" t="inlineStr">
        <is>
          <t>Text label</t>
        </is>
      </c>
      <c r="F34" s="9" t="inlineStr">
        <is>
          <t>in &lt;site&gt;</t>
        </is>
      </c>
      <c r="G34" s="9" t="inlineStr">
        <is>
          <t>The site the library belongs to.</t>
        </is>
      </c>
      <c r="H34" s="23" t="inlineStr">
        <is>
          <t>Ready today</t>
        </is>
      </c>
      <c r="I34" s="9" t="inlineStr">
        <is>
          <t>rpt.utilization_report</t>
        </is>
      </c>
      <c r="J34" s="9" t="inlineStr">
        <is>
          <t>SiteName</t>
        </is>
      </c>
      <c r="K34" s="9" t="inlineStr">
        <is>
          <t>Nothing needed. The data is in the EDRMS database today.</t>
        </is>
      </c>
      <c r="L34" s="9" t="inlineStr">
        <is>
          <t>Yes. Run the query against the UAT database and hand count the same figure in the test tenant. Small enough to reconcile exactly.</t>
        </is>
      </c>
      <c r="M34" s="30" t="inlineStr">
        <is>
          <t>SELECT "LibraryName", "SiteName" ...</t>
        </is>
      </c>
    </row>
    <row r="35" ht="30" customHeight="1">
      <c r="A35" s="9" t="n">
        <v>31</v>
      </c>
      <c r="B35" s="22" t="inlineStr">
        <is>
          <t>Sites and Libraries</t>
        </is>
      </c>
      <c r="C35" s="9" t="inlineStr">
        <is>
          <t>2. Library adoption and volume</t>
        </is>
      </c>
      <c r="D35" s="22" t="inlineStr">
        <is>
          <t>Sort by documents / records / rate</t>
        </is>
      </c>
      <c r="E35" s="9" t="inlineStr">
        <is>
          <t>Sort control</t>
        </is>
      </c>
      <c r="F35" s="9" t="inlineStr">
        <is>
          <t>With a direction toggle</t>
        </is>
      </c>
      <c r="G35" s="9" t="inlineStr">
        <is>
          <t>Reorder the same rows.</t>
        </is>
      </c>
      <c r="H35" s="24" t="inlineStr">
        <is>
          <t>Needs the document scan</t>
        </is>
      </c>
      <c r="I35" s="9" t="inlineStr">
        <is>
          <t>rpt.utilization_report</t>
        </is>
      </c>
      <c r="J35" s="9" t="inlineStr">
        <is>
          <t>the three computed values</t>
        </is>
      </c>
      <c r="K35" s="9" t="inlineStr">
        <is>
          <t>Weekly Microsoft Graph scan of every document library in every compliant site, matched to Records on ListId + ItemId. This one job supplies every undeclared document.</t>
        </is>
      </c>
      <c r="L35" s="9" t="inlineStr">
        <is>
          <t>Yes, and this is the best thing the tenant is for. Rehearse the scan across the 22 libraries in org_csd_1.4testsite, which include permission restricted libraries and hostile filenames. A scan that survives here will survive ADB.</t>
        </is>
      </c>
      <c r="M35" s="30" t="inlineStr">
        <is>
          <t>ORDER BY documents | declared | rate_pct</t>
        </is>
      </c>
    </row>
    <row r="36" ht="55" customHeight="1">
      <c r="A36" s="9" t="n">
        <v>32</v>
      </c>
      <c r="B36" s="22" t="inlineStr">
        <is>
          <t>Sites and Libraries</t>
        </is>
      </c>
      <c r="C36" s="9" t="inlineStr">
        <is>
          <t>2. Library adoption and volume</t>
        </is>
      </c>
      <c r="D36" s="22" t="inlineStr">
        <is>
          <t>Largest Libraries</t>
        </is>
      </c>
      <c r="E36" s="9" t="inlineStr">
        <is>
          <t>KPI card</t>
        </is>
      </c>
      <c r="F36" s="9" t="inlineStr">
        <is>
          <t>43.1 GB</t>
        </is>
      </c>
      <c r="G36" s="9" t="inlineStr">
        <is>
          <t>Total file size per library, largest first.</t>
        </is>
      </c>
      <c r="H36" s="24" t="inlineStr">
        <is>
          <t>Needs the document scan</t>
        </is>
      </c>
      <c r="I36" s="9" t="inlineStr">
        <is>
          <t>rpt.utilization_report</t>
        </is>
      </c>
      <c r="J36" s="9" t="inlineStr">
        <is>
          <t>ListId, FileSize</t>
        </is>
      </c>
      <c r="K36" s="9" t="inlineStr">
        <is>
          <t>Gap 2. Two routes, use both. Microsoft Graph returns size on every item so the scan gets it free. For declared records, add a FileSize key to the FileMeta JSON the EDRMS application already writes: a JSON key, not a database migration. Weekly Microsoft Graph scan of every document library in every compliant site, matched to Records on ListId + ItemId. This one job supplies every undeclared document.</t>
        </is>
      </c>
      <c r="L36" s="9" t="inlineStr">
        <is>
          <t>Yes, and this is the best thing the tenant is for. Rehearse the scan across the 22 libraries in org_csd_1.4testsite, which include permission restricted libraries and hostile filenames. A scan that survives here will survive ADB.</t>
        </is>
      </c>
      <c r="M36" s="30" t="inlineStr">
        <is>
          <t>SELECT "ListId", "LibraryName",
       sum("FileSize") / 1024.0^3 AS gb
FROM rpt.utilization_report
WHERE "SnapshotDate" = (SELECT max("SnapshotDate") FROM rpt.utilization_report)
GROUP BY 1,2 ORDER BY 3 DESC;</t>
        </is>
      </c>
    </row>
    <row r="37" ht="30" customHeight="1">
      <c r="A37" s="9" t="n">
        <v>33</v>
      </c>
      <c r="B37" s="22" t="inlineStr">
        <is>
          <t>Sites and Libraries</t>
        </is>
      </c>
      <c r="C37" s="9" t="inlineStr">
        <is>
          <t>2. Library adoption and volume</t>
        </is>
      </c>
      <c r="D37" s="22" t="inlineStr">
        <is>
          <t>Average file size</t>
        </is>
      </c>
      <c r="E37" s="9" t="inlineStr">
        <is>
          <t>Derived value</t>
        </is>
      </c>
      <c r="F37" s="9" t="inlineStr">
        <is>
          <t>MB per file</t>
        </is>
      </c>
      <c r="G37" s="9" t="inlineStr">
        <is>
          <t>Total size divided by the file count. Never stored, always computed, so it cannot disagree with its two inputs.</t>
        </is>
      </c>
      <c r="H37" s="24" t="inlineStr">
        <is>
          <t>Needs the document scan</t>
        </is>
      </c>
      <c r="I37" s="9" t="inlineStr">
        <is>
          <t>rpt.utilization_report</t>
        </is>
      </c>
      <c r="J37" s="9" t="inlineStr">
        <is>
          <t>FileSize, row count</t>
        </is>
      </c>
      <c r="K37" s="9" t="inlineStr">
        <is>
          <t>Gap 2. Two routes, use both. Microsoft Graph returns size on every item so the scan gets it free. For declared records, add a FileSize key to the FileMeta JSON the EDRMS application already writes: a JSON key, not a database migration.</t>
        </is>
      </c>
      <c r="L37" s="9" t="inlineStr">
        <is>
          <t>Yes, and this is the best thing the tenant is for. Rehearse the scan across the 22 libraries in org_csd_1.4testsite, which include permission restricted libraries and hostile filenames. A scan that survives here will survive ADB.</t>
        </is>
      </c>
      <c r="M37" s="30" t="inlineStr">
        <is>
          <t>sum("FileSize") / nullif(count(*),0) / 1024.0^2 AS avg_mb</t>
        </is>
      </c>
    </row>
    <row r="38" ht="44" customHeight="1">
      <c r="A38" s="28" t="n">
        <v>34</v>
      </c>
      <c r="B38" s="29" t="inlineStr">
        <is>
          <t>Format and Storage</t>
        </is>
      </c>
      <c r="C38" s="28" t="inlineStr">
        <is>
          <t>Storage footprint by file format</t>
        </is>
      </c>
      <c r="D38" s="22" t="inlineStr">
        <is>
          <t>Storage Consumed by Format</t>
        </is>
      </c>
      <c r="E38" s="9" t="inlineStr">
        <is>
          <t>KPI card</t>
        </is>
      </c>
      <c r="F38" s="9" t="inlineStr">
        <is>
          <t>46.7 GB</t>
        </is>
      </c>
      <c r="G38" s="9" t="inlineStr">
        <is>
          <t>Total file size across all declared records.</t>
        </is>
      </c>
      <c r="H38" s="24" t="inlineStr">
        <is>
          <t>Needs the document scan</t>
        </is>
      </c>
      <c r="I38" s="9" t="inlineStr">
        <is>
          <t>rpt.utilization_report</t>
        </is>
      </c>
      <c r="J38" s="9" t="inlineStr">
        <is>
          <t>FileSize</t>
        </is>
      </c>
      <c r="K38" s="9" t="inlineStr">
        <is>
          <t>Gap 2. Two routes, use both. Microsoft Graph returns size on every item so the scan gets it free. For declared records, add a FileSize key to the FileMeta JSON the EDRMS application already writes: a JSON key, not a database migration.</t>
        </is>
      </c>
      <c r="L38" s="9" t="inlineStr">
        <is>
          <t>Yes, and this is the best thing the tenant is for. Rehearse the scan across the 22 libraries in org_csd_1.4testsite, which include permission restricted libraries and hostile filenames. A scan that survives here will survive ADB.</t>
        </is>
      </c>
      <c r="M38" s="30" t="inlineStr">
        <is>
          <t>SELECT sum("FileSize")/1024.0^3 AS gb
FROM rpt.utilization_report
WHERE "SnapshotDate" = (SELECT max("SnapshotDate") FROM rpt.utilization_report)
  AND "IsDeclaredRecord" = true;</t>
        </is>
      </c>
    </row>
    <row r="39" ht="33" customHeight="1">
      <c r="A39" s="9" t="n">
        <v>35</v>
      </c>
      <c r="B39" s="22" t="inlineStr">
        <is>
          <t>Format and Storage</t>
        </is>
      </c>
      <c r="C39" s="9" t="inlineStr">
        <is>
          <t>Storage footprint by file format</t>
        </is>
      </c>
      <c r="D39" s="22" t="inlineStr">
        <is>
          <t>Format column</t>
        </is>
      </c>
      <c r="E39" s="9" t="inlineStr">
        <is>
          <t>Table column</t>
        </is>
      </c>
      <c r="F39" s="9" t="inlineStr">
        <is>
          <t>8 rows, PDF to All other formats</t>
        </is>
      </c>
      <c r="G39" s="9" t="inlineStr">
        <is>
          <t>The eight display groups, derived from the file extension.</t>
        </is>
      </c>
      <c r="H39" s="23" t="inlineStr">
        <is>
          <t>Ready today</t>
        </is>
      </c>
      <c r="I39" s="9" t="inlineStr">
        <is>
          <t>public.Records</t>
        </is>
      </c>
      <c r="J39" s="9" t="inlineStr">
        <is>
          <t>FileMeta -&gt; FileType, grouped</t>
        </is>
      </c>
      <c r="K39" s="9" t="inlineStr">
        <is>
          <t>The grouping list itself does not exist. RAC signs off which extensions map to which of the eight groups, once.</t>
        </is>
      </c>
      <c r="L39" s="9" t="inlineStr">
        <is>
          <t>Yes. Run the query against the UAT database and hand count the same figure in the test tenant. Small enough to reconcile exactly.</t>
        </is>
      </c>
      <c r="M39" s="30" t="inlineStr">
        <is>
          <t>SELECT "FileMeta"-&gt;&gt;'FileType' AS ext, count(*)
FROM public."Records" WHERE "IsDeleted"=false
GROUP BY 1 ORDER BY 2 DESC;</t>
        </is>
      </c>
    </row>
    <row r="40" ht="55" customHeight="1">
      <c r="A40" s="9" t="n">
        <v>36</v>
      </c>
      <c r="B40" s="22" t="inlineStr">
        <is>
          <t>Format and Storage</t>
        </is>
      </c>
      <c r="C40" s="9" t="inlineStr">
        <is>
          <t>Storage footprint by file format</t>
        </is>
      </c>
      <c r="D40" s="22" t="inlineStr">
        <is>
          <t>Number of files column</t>
        </is>
      </c>
      <c r="E40" s="9" t="inlineStr">
        <is>
          <t>Table column</t>
        </is>
      </c>
      <c r="F40" s="9" t="inlineStr">
        <is>
          <t>8,200 for PDF</t>
        </is>
      </c>
      <c r="G40" s="9" t="inlineStr">
        <is>
          <t>Row count per format group. Sums to 21,646 and is asserted against the Records Management total.</t>
        </is>
      </c>
      <c r="H40" s="23" t="inlineStr">
        <is>
          <t>Ready today</t>
        </is>
      </c>
      <c r="I40" s="9" t="inlineStr">
        <is>
          <t>rpt.utilization_report</t>
        </is>
      </c>
      <c r="J40" s="9" t="inlineStr">
        <is>
          <t>FormatGroup</t>
        </is>
      </c>
      <c r="K40" s="9" t="inlineStr">
        <is>
          <t>Nothing needed. The data is in the EDRMS database today.</t>
        </is>
      </c>
      <c r="L40" s="9" t="inlineStr">
        <is>
          <t>Yes. Run the query against the UAT database and hand count the same figure in the test tenant. Small enough to reconcile exactly.</t>
        </is>
      </c>
      <c r="M40" s="30" t="inlineStr">
        <is>
          <t>SELECT "FormatGroup", count(*) AS files
FROM rpt.utilization_report
WHERE "SnapshotDate" = (SELECT max("SnapshotDate") FROM rpt.utilization_report)
  AND "IsDeclaredRecord" = true
GROUP BY 1 ORDER BY 2 DESC;</t>
        </is>
      </c>
    </row>
    <row r="41" ht="30" customHeight="1">
      <c r="A41" s="9" t="n">
        <v>37</v>
      </c>
      <c r="B41" s="22" t="inlineStr">
        <is>
          <t>Format and Storage</t>
        </is>
      </c>
      <c r="C41" s="9" t="inlineStr">
        <is>
          <t>Storage footprint by file format</t>
        </is>
      </c>
      <c r="D41" s="22" t="inlineStr">
        <is>
          <t>Storage GB column</t>
        </is>
      </c>
      <c r="E41" s="9" t="inlineStr">
        <is>
          <t>Table column</t>
        </is>
      </c>
      <c r="F41" s="9" t="inlineStr">
        <is>
          <t>9.6 GB for PDF</t>
        </is>
      </c>
      <c r="G41" s="9" t="inlineStr">
        <is>
          <t>Total file size per format group.</t>
        </is>
      </c>
      <c r="H41" s="24" t="inlineStr">
        <is>
          <t>Needs the document scan</t>
        </is>
      </c>
      <c r="I41" s="9" t="inlineStr">
        <is>
          <t>rpt.utilization_report</t>
        </is>
      </c>
      <c r="J41" s="9" t="inlineStr">
        <is>
          <t>FormatGroup, FileSize</t>
        </is>
      </c>
      <c r="K41" s="9" t="inlineStr">
        <is>
          <t>Gap 2. Two routes, use both. Microsoft Graph returns size on every item so the scan gets it free. For declared records, add a FileSize key to the FileMeta JSON the EDRMS application already writes: a JSON key, not a database migration.</t>
        </is>
      </c>
      <c r="L41" s="9" t="inlineStr">
        <is>
          <t>Yes, and this is the best thing the tenant is for. Rehearse the scan across the 22 libraries in org_csd_1.4testsite, which include permission restricted libraries and hostile filenames. A scan that survives here will survive ADB.</t>
        </is>
      </c>
      <c r="M41" s="30" t="inlineStr">
        <is>
          <t>SELECT "FormatGroup", sum("FileSize")/1024.0^3 AS gb ... GROUP BY 1;</t>
        </is>
      </c>
    </row>
    <row r="42" ht="30" customHeight="1">
      <c r="A42" s="9" t="n">
        <v>38</v>
      </c>
      <c r="B42" s="22" t="inlineStr">
        <is>
          <t>Format and Storage</t>
        </is>
      </c>
      <c r="C42" s="9" t="inlineStr">
        <is>
          <t>Storage footprint by file format</t>
        </is>
      </c>
      <c r="D42" s="22" t="inlineStr">
        <is>
          <t>Average file size MB column</t>
        </is>
      </c>
      <c r="E42" s="9" t="inlineStr">
        <is>
          <t>Table column</t>
        </is>
      </c>
      <c r="F42" s="9" t="inlineStr">
        <is>
          <t>Derived</t>
        </is>
      </c>
      <c r="G42" s="9" t="inlineStr">
        <is>
          <t>Storage divided by files, per format group.</t>
        </is>
      </c>
      <c r="H42" s="24" t="inlineStr">
        <is>
          <t>Needs the document scan</t>
        </is>
      </c>
      <c r="I42" s="9" t="inlineStr">
        <is>
          <t>rpt.utilization_report</t>
        </is>
      </c>
      <c r="J42" s="9" t="inlineStr">
        <is>
          <t>FormatGroup, FileSize</t>
        </is>
      </c>
      <c r="K42" s="9" t="inlineStr">
        <is>
          <t>Gap 2. Two routes, use both. Microsoft Graph returns size on every item so the scan gets it free. For declared records, add a FileSize key to the FileMeta JSON the EDRMS application already writes: a JSON key, not a database migration.</t>
        </is>
      </c>
      <c r="L42" s="9" t="inlineStr">
        <is>
          <t>Yes, and this is the best thing the tenant is for. Rehearse the scan across the 22 libraries in org_csd_1.4testsite, which include permission restricted libraries and hostile filenames. A scan that survives here will survive ADB.</t>
        </is>
      </c>
      <c r="M42" s="30" t="inlineStr">
        <is>
          <t>sum("FileSize")/nullif(count(*),0)/1024.0^2</t>
        </is>
      </c>
    </row>
    <row r="43" ht="30" customHeight="1">
      <c r="A43" s="9" t="n">
        <v>39</v>
      </c>
      <c r="B43" s="22" t="inlineStr">
        <is>
          <t>Format and Storage</t>
        </is>
      </c>
      <c r="C43" s="9" t="inlineStr">
        <is>
          <t>Storage footprint by file format</t>
        </is>
      </c>
      <c r="D43" s="22" t="inlineStr">
        <is>
          <t>Totals row</t>
        </is>
      </c>
      <c r="E43" s="9" t="inlineStr">
        <is>
          <t>Table row</t>
        </is>
      </c>
      <c r="F43" s="9" t="inlineStr">
        <is>
          <t>21,646 and 46.7 GB</t>
        </is>
      </c>
      <c r="G43" s="9" t="inlineStr">
        <is>
          <t>The column totals. Must reconcile to Total Declared Records.</t>
        </is>
      </c>
      <c r="H43" s="24" t="inlineStr">
        <is>
          <t>Needs the document scan</t>
        </is>
      </c>
      <c r="I43" s="9" t="inlineStr">
        <is>
          <t>rpt.utilization_report</t>
        </is>
      </c>
      <c r="J43" s="9" t="inlineStr">
        <is>
          <t>FormatGroup, FileSize</t>
        </is>
      </c>
      <c r="K43" s="9" t="inlineStr">
        <is>
          <t>Gap 2. Two routes, use both. Microsoft Graph returns size on every item so the scan gets it free. For declared records, add a FileSize key to the FileMeta JSON the EDRMS application already writes: a JSON key, not a database migration.</t>
        </is>
      </c>
      <c r="L43" s="9" t="inlineStr">
        <is>
          <t>Yes, and this is the best thing the tenant is for. Rehearse the scan across the 22 libraries in org_csd_1.4testsite, which include permission restricted libraries and hostile filenames. A scan that survives here will survive ADB.</t>
        </is>
      </c>
      <c r="M43" s="30" t="inlineStr">
        <is>
          <t>-- the same query without GROUP BY</t>
        </is>
      </c>
    </row>
    <row r="44" ht="44" customHeight="1">
      <c r="A44" s="9" t="n">
        <v>40</v>
      </c>
      <c r="B44" s="22" t="inlineStr">
        <is>
          <t>Format and Storage</t>
        </is>
      </c>
      <c r="C44" s="9" t="inlineStr">
        <is>
          <t>Storage footprint by file format</t>
        </is>
      </c>
      <c r="D44" s="22" t="inlineStr">
        <is>
          <t>Most Common Format</t>
        </is>
      </c>
      <c r="E44" s="9" t="inlineStr">
        <is>
          <t>KPI card</t>
        </is>
      </c>
      <c r="F44" s="9" t="inlineStr">
        <is>
          <t>PDF</t>
        </is>
      </c>
      <c r="G44" s="9" t="inlineStr">
        <is>
          <t>The format group with the highest file count.</t>
        </is>
      </c>
      <c r="H44" s="23" t="inlineStr">
        <is>
          <t>Ready today</t>
        </is>
      </c>
      <c r="I44" s="9" t="inlineStr">
        <is>
          <t>rpt.utilization_report</t>
        </is>
      </c>
      <c r="J44" s="9" t="inlineStr">
        <is>
          <t>FormatGroup</t>
        </is>
      </c>
      <c r="K44" s="9" t="inlineStr">
        <is>
          <t>Nothing needed. The data is in the EDRMS database today.</t>
        </is>
      </c>
      <c r="L44" s="9" t="inlineStr">
        <is>
          <t>Yes. Run the query against the UAT database and hand count the same figure in the test tenant. Small enough to reconcile exactly.</t>
        </is>
      </c>
      <c r="M44" s="30" t="inlineStr">
        <is>
          <t>SELECT "FormatGroup" FROM rpt.utilization_report
WHERE "SnapshotDate" = (SELECT max("SnapshotDate") FROM rpt.utilization_report)
  AND "IsDeclaredRecord" = true
GROUP BY 1 ORDER BY count(*) DESC LIMIT 1;</t>
        </is>
      </c>
    </row>
    <row r="45" ht="33" customHeight="1">
      <c r="A45" s="9" t="n">
        <v>41</v>
      </c>
      <c r="B45" s="22" t="inlineStr">
        <is>
          <t>Format and Storage</t>
        </is>
      </c>
      <c r="C45" s="9" t="inlineStr">
        <is>
          <t>Storage footprint by file format</t>
        </is>
      </c>
      <c r="D45" s="22" t="inlineStr">
        <is>
          <t>Declared records by format</t>
        </is>
      </c>
      <c r="E45" s="9" t="inlineStr">
        <is>
          <t>Bar chart</t>
        </is>
      </c>
      <c r="F45" s="9" t="inlineStr">
        <is>
          <t>Count and share per format</t>
        </is>
      </c>
      <c r="G45" s="9" t="inlineStr">
        <is>
          <t>File count per format group with its percentage of the total.</t>
        </is>
      </c>
      <c r="H45" s="23" t="inlineStr">
        <is>
          <t>Ready today</t>
        </is>
      </c>
      <c r="I45" s="9" t="inlineStr">
        <is>
          <t>rpt.utilization_report</t>
        </is>
      </c>
      <c r="J45" s="9" t="inlineStr">
        <is>
          <t>FormatGroup</t>
        </is>
      </c>
      <c r="K45" s="9" t="inlineStr">
        <is>
          <t>Nothing needed. The data is in the EDRMS database today.</t>
        </is>
      </c>
      <c r="L45" s="9" t="inlineStr">
        <is>
          <t>Yes. Run the query against the UAT database and hand count the same figure in the test tenant. Small enough to reconcile exactly.</t>
        </is>
      </c>
      <c r="M45" s="30" t="inlineStr">
        <is>
          <t>SELECT "FormatGroup", count(*),
       round(100.0*count(*)/sum(count(*)) OVER (), 1) AS share_pct
... GROUP BY 1;</t>
        </is>
      </c>
    </row>
    <row r="46" ht="30" customHeight="1">
      <c r="A46" s="28" t="n">
        <v>42</v>
      </c>
      <c r="B46" s="29" t="inlineStr">
        <is>
          <t>Overview</t>
        </is>
      </c>
      <c r="C46" s="28" t="inlineStr">
        <is>
          <t>Executive summary</t>
        </is>
      </c>
      <c r="D46" s="22" t="inlineStr">
        <is>
          <t>Five headline KPI cards</t>
        </is>
      </c>
      <c r="E46" s="9" t="inlineStr">
        <is>
          <t>KPI cards</t>
        </is>
      </c>
      <c r="F46" s="9" t="inlineStr">
        <is>
          <t>Clickable, route to source dashboard</t>
        </is>
      </c>
      <c r="G46" s="9" t="inlineStr">
        <is>
          <t>Read from the other dashboards, never recalculated here. A summary holding its own copy of a number drifts from the detail the first time either side is edited.</t>
        </is>
      </c>
      <c r="H46" s="31" t="inlineStr">
        <is>
          <t>Derived from other elements</t>
        </is>
      </c>
      <c r="I46" s="9" t="inlineStr">
        <is>
          <t>-</t>
        </is>
      </c>
      <c r="J46" s="9" t="inlineStr">
        <is>
          <t>none of its own</t>
        </is>
      </c>
      <c r="K46" s="9" t="inlineStr">
        <is>
          <t>Nothing. It inherits the status of whichever figure it quotes.</t>
        </is>
      </c>
      <c r="L46" s="9" t="inlineStr">
        <is>
          <t>Inherits whatever its source elements can be tested for.</t>
        </is>
      </c>
      <c r="M46" s="30" t="inlineStr">
        <is>
          <t>-- no query, reads the other dashboards' results</t>
        </is>
      </c>
    </row>
    <row r="47" ht="30" customHeight="1">
      <c r="A47" s="9" t="n">
        <v>43</v>
      </c>
      <c r="B47" s="22" t="inlineStr">
        <is>
          <t>Overview</t>
        </is>
      </c>
      <c r="C47" s="9" t="inlineStr">
        <is>
          <t>Records Management summary</t>
        </is>
      </c>
      <c r="D47" s="22" t="inlineStr">
        <is>
          <t>Physical counterpart donut</t>
        </is>
      </c>
      <c r="E47" s="9" t="inlineStr">
        <is>
          <t>Donut chart</t>
        </is>
      </c>
      <c r="F47" s="9" t="inlineStr">
        <is>
          <t>With vs without</t>
        </is>
      </c>
      <c r="G47" s="9" t="inlineStr">
        <is>
          <t>The HasPhysical split as a share.</t>
        </is>
      </c>
      <c r="H47" s="23" t="inlineStr">
        <is>
          <t>Ready today</t>
        </is>
      </c>
      <c r="I47" s="9" t="inlineStr">
        <is>
          <t>public.Records</t>
        </is>
      </c>
      <c r="J47" s="9" t="inlineStr">
        <is>
          <t>EDRMSMeta -&gt; HasPhysical</t>
        </is>
      </c>
      <c r="K47" s="9" t="inlineStr">
        <is>
          <t>Nothing needed. The data is in the EDRMS database today.</t>
        </is>
      </c>
      <c r="L47" s="9" t="inlineStr">
        <is>
          <t>Yes. Run the query against the UAT database and hand count the same figure in the test tenant. Small enough to reconcile exactly.</t>
        </is>
      </c>
      <c r="M47" s="30" t="inlineStr">
        <is>
          <t>-- the physical split query</t>
        </is>
      </c>
    </row>
    <row r="48" ht="33" customHeight="1">
      <c r="A48" s="9" t="n">
        <v>44</v>
      </c>
      <c r="B48" s="22" t="inlineStr">
        <is>
          <t>Overview</t>
        </is>
      </c>
      <c r="C48" s="9" t="inlineStr">
        <is>
          <t>Records Management summary</t>
        </is>
      </c>
      <c r="D48" s="22" t="inlineStr">
        <is>
          <t>Documents held vs records declared</t>
        </is>
      </c>
      <c r="E48" s="9" t="inlineStr">
        <is>
          <t>Comparison bars</t>
        </is>
      </c>
      <c r="F48" s="9" t="inlineStr">
        <is>
          <t>Shared scale, rate called out</t>
        </is>
      </c>
      <c r="G48" s="9" t="inlineStr">
        <is>
          <t>Both totals on one scale with the declaration rate between them.</t>
        </is>
      </c>
      <c r="H48" s="24" t="inlineStr">
        <is>
          <t>Needs the document scan</t>
        </is>
      </c>
      <c r="I48" s="9" t="inlineStr">
        <is>
          <t>rpt.utilization_report</t>
        </is>
      </c>
      <c r="J48" s="9" t="inlineStr">
        <is>
          <t>IsDeclaredRecord</t>
        </is>
      </c>
      <c r="K48" s="9" t="inlineStr">
        <is>
          <t>Weekly Microsoft Graph scan of every document library in every compliant site, matched to Records on ListId + ItemId. This one job supplies every undeclared document.</t>
        </is>
      </c>
      <c r="L48" s="9" t="inlineStr">
        <is>
          <t>Yes, and this is the best thing the tenant is for. Rehearse the scan across the 22 libraries in org_csd_1.4testsite, which include permission restricted libraries and hostile filenames. A scan that survives here will survive ADB.</t>
        </is>
      </c>
      <c r="M48" s="30" t="inlineStr">
        <is>
          <t>SELECT count(*) AS documents,
       count(*) FILTER (WHERE "IsDeclaredRecord") AS declared
FROM rpt.utilization_report WHERE "SnapshotDate" = (SELECT max("SnapshotDate") FROM rpt.utilization_report);</t>
        </is>
      </c>
    </row>
    <row r="49" ht="30" customHeight="1">
      <c r="A49" s="9" t="n">
        <v>45</v>
      </c>
      <c r="B49" s="22" t="inlineStr">
        <is>
          <t>Overview</t>
        </is>
      </c>
      <c r="C49" s="9" t="inlineStr">
        <is>
          <t>Records Management summary</t>
        </is>
      </c>
      <c r="D49" s="22" t="inlineStr">
        <is>
          <t>Top 5 departments by declared records</t>
        </is>
      </c>
      <c r="E49" s="9" t="inlineStr">
        <is>
          <t>Ranked list</t>
        </is>
      </c>
      <c r="F49" s="9" t="inlineStr">
        <is>
          <t>ITD SARD OSFG FIN PARD</t>
        </is>
      </c>
      <c r="G49" s="9" t="inlineStr">
        <is>
          <t>The department chart, truncated to five.</t>
        </is>
      </c>
      <c r="H49" s="25" t="inlineStr">
        <is>
          <t>Blocked</t>
        </is>
      </c>
      <c r="I49" s="9" t="inlineStr">
        <is>
          <t>public.Records</t>
        </is>
      </c>
      <c r="J49" s="9" t="inlineStr">
        <is>
          <t>ADBMeta -&gt; ADBDepartmentOwner</t>
        </is>
      </c>
      <c r="K49" s="9" t="inlineStr">
        <is>
          <t>Gap 1. ADBMeta is marked Future Enhancement and is empty. Attach the department to the SITE in the Site Activity Table, about 1,057 values, and let documents inherit it. Check AvePoint Cloud Governance first: it may already hold it from provisioning.</t>
        </is>
      </c>
      <c r="L49" s="9" t="inlineStr">
        <is>
          <t>Partly. The connector cannot read managed metadata, so the term store link cannot be confirmed here. Testable fallback: the sites are named org_&lt;code&gt;_..., so check whether ADB site URLs carry a department code that could bridge until ADBMeta is populated.</t>
        </is>
      </c>
      <c r="M49" s="30" t="inlineStr">
        <is>
          <t>... ORDER BY declared DESC LIMIT 5</t>
        </is>
      </c>
    </row>
    <row r="50" ht="30" customHeight="1">
      <c r="A50" s="9" t="n">
        <v>46</v>
      </c>
      <c r="B50" s="22" t="inlineStr">
        <is>
          <t>Overview</t>
        </is>
      </c>
      <c r="C50" s="9" t="inlineStr">
        <is>
          <t>Sites and Libraries summary</t>
        </is>
      </c>
      <c r="D50" s="22" t="inlineStr">
        <is>
          <t>Library content declared vs not</t>
        </is>
      </c>
      <c r="E50" s="9" t="inlineStr">
        <is>
          <t>Donut chart</t>
        </is>
      </c>
      <c r="F50" s="9" t="inlineStr">
        <is>
          <t>Two slices</t>
        </is>
      </c>
      <c r="G50" s="9" t="inlineStr">
        <is>
          <t>The declaration rate as a share.</t>
        </is>
      </c>
      <c r="H50" s="24" t="inlineStr">
        <is>
          <t>Needs the document scan</t>
        </is>
      </c>
      <c r="I50" s="9" t="inlineStr">
        <is>
          <t>rpt.utilization_report</t>
        </is>
      </c>
      <c r="J50" s="9" t="inlineStr">
        <is>
          <t>IsDeclaredRecord</t>
        </is>
      </c>
      <c r="K50" s="9" t="inlineStr">
        <is>
          <t>Weekly Microsoft Graph scan of every document library in every compliant site, matched to Records on ListId + ItemId. This one job supplies every undeclared document.</t>
        </is>
      </c>
      <c r="L50" s="9" t="inlineStr">
        <is>
          <t>Yes, and this is the best thing the tenant is for. Rehearse the scan across the 22 libraries in org_csd_1.4testsite, which include permission restricted libraries and hostile filenames. A scan that survives here will survive ADB.</t>
        </is>
      </c>
      <c r="M50" s="30" t="inlineStr">
        <is>
          <t>-- the declaration rate query</t>
        </is>
      </c>
    </row>
    <row r="51" ht="30" customHeight="1">
      <c r="A51" s="9" t="n">
        <v>47</v>
      </c>
      <c r="B51" s="22" t="inlineStr">
        <is>
          <t>Overview</t>
        </is>
      </c>
      <c r="C51" s="9" t="inlineStr">
        <is>
          <t>Sites and Libraries summary</t>
        </is>
      </c>
      <c r="D51" s="22" t="inlineStr">
        <is>
          <t>Top 5 departments by compliant sites</t>
        </is>
      </c>
      <c r="E51" s="9" t="inlineStr">
        <is>
          <t>Ranked list</t>
        </is>
      </c>
      <c r="F51" s="9" t="inlineStr">
        <is>
          <t>Five departments</t>
        </is>
      </c>
      <c r="G51" s="9" t="inlineStr">
        <is>
          <t>The treemap, truncated to five.</t>
        </is>
      </c>
      <c r="H51" s="25" t="inlineStr">
        <is>
          <t>Blocked</t>
        </is>
      </c>
      <c r="I51" s="9" t="inlineStr">
        <is>
          <t>rpt.utilization_site_activity</t>
        </is>
      </c>
      <c r="J51" s="9" t="inlineStr">
        <is>
          <t>ADBDepartmentOwner, IsEdrmsCompliant</t>
        </is>
      </c>
      <c r="K51" s="9" t="inlineStr">
        <is>
          <t>Gap 1. ADBMeta is marked Future Enhancement and is empty. Attach the department to the SITE in the Site Activity Table, about 1,057 values, and let documents inherit it. Check AvePoint Cloud Governance first: it may already hold it from provisioning. Gap 3. No system holds this, it is a definition. RAC picks one of three: a maintained list of compliant site URLs, a site template check, or an AvePoint Cloud Governance flag.</t>
        </is>
      </c>
      <c r="L51" s="9" t="inlineStr">
        <is>
          <t>Partly. The connector cannot read managed metadata, so the term store link cannot be confirmed here. Testable fallback: the sites are named org_&lt;code&gt;_..., so check whether ADB site URLs carry a department code that could bridge until ADBMeta is populated.</t>
        </is>
      </c>
      <c r="M51" s="30" t="inlineStr">
        <is>
          <t>... ORDER BY sites DESC LIMIT 5</t>
        </is>
      </c>
    </row>
    <row r="52" ht="30" customHeight="1">
      <c r="A52" s="9" t="n">
        <v>48</v>
      </c>
      <c r="B52" s="22" t="inlineStr">
        <is>
          <t>Overview</t>
        </is>
      </c>
      <c r="C52" s="9" t="inlineStr">
        <is>
          <t>Format and Storage summary</t>
        </is>
      </c>
      <c r="D52" s="22" t="inlineStr">
        <is>
          <t>Share of storage donut</t>
        </is>
      </c>
      <c r="E52" s="9" t="inlineStr">
        <is>
          <t>Donut chart</t>
        </is>
      </c>
      <c r="F52" s="9" t="inlineStr">
        <is>
          <t>Five formats</t>
        </is>
      </c>
      <c r="G52" s="9" t="inlineStr">
        <is>
          <t>Storage per format as a share of the total.</t>
        </is>
      </c>
      <c r="H52" s="24" t="inlineStr">
        <is>
          <t>Needs the document scan</t>
        </is>
      </c>
      <c r="I52" s="9" t="inlineStr">
        <is>
          <t>rpt.utilization_report</t>
        </is>
      </c>
      <c r="J52" s="9" t="inlineStr">
        <is>
          <t>FormatGroup, FileSize</t>
        </is>
      </c>
      <c r="K52" s="9" t="inlineStr">
        <is>
          <t>Gap 2. Two routes, use both. Microsoft Graph returns size on every item so the scan gets it free. For declared records, add a FileSize key to the FileMeta JSON the EDRMS application already writes: a JSON key, not a database migration.</t>
        </is>
      </c>
      <c r="L52" s="9" t="inlineStr">
        <is>
          <t>Yes, and this is the best thing the tenant is for. Rehearse the scan across the 22 libraries in org_csd_1.4testsite, which include permission restricted libraries and hostile filenames. A scan that survives here will survive ADB.</t>
        </is>
      </c>
      <c r="M52" s="30" t="inlineStr">
        <is>
          <t>-- storage by format, as percentages</t>
        </is>
      </c>
    </row>
    <row r="53" ht="30" customHeight="1">
      <c r="A53" s="9" t="n">
        <v>49</v>
      </c>
      <c r="B53" s="22" t="inlineStr">
        <is>
          <t>Overview</t>
        </is>
      </c>
      <c r="C53" s="9" t="inlineStr">
        <is>
          <t>Format and Storage summary</t>
        </is>
      </c>
      <c r="D53" s="22" t="inlineStr">
        <is>
          <t>Share of files donut</t>
        </is>
      </c>
      <c r="E53" s="9" t="inlineStr">
        <is>
          <t>Donut chart</t>
        </is>
      </c>
      <c r="F53" s="9" t="inlineStr">
        <is>
          <t>Same five formats, same colours</t>
        </is>
      </c>
      <c r="G53" s="9" t="inlineStr">
        <is>
          <t>File count per format as a share. Uses the same formats and colours as the storage donut so the two can be read against each other.</t>
        </is>
      </c>
      <c r="H53" s="23" t="inlineStr">
        <is>
          <t>Ready today</t>
        </is>
      </c>
      <c r="I53" s="9" t="inlineStr">
        <is>
          <t>rpt.utilization_report</t>
        </is>
      </c>
      <c r="J53" s="9" t="inlineStr">
        <is>
          <t>FormatGroup</t>
        </is>
      </c>
      <c r="K53" s="9" t="inlineStr">
        <is>
          <t>Nothing needed. The data is in the EDRMS database today.</t>
        </is>
      </c>
      <c r="L53" s="9" t="inlineStr">
        <is>
          <t>Yes. Run the query against the UAT database and hand count the same figure in the test tenant. Small enough to reconcile exactly.</t>
        </is>
      </c>
      <c r="M53" s="30" t="inlineStr">
        <is>
          <t>-- files by format, as percentages</t>
        </is>
      </c>
    </row>
    <row r="54" ht="30" customHeight="1">
      <c r="A54" s="9" t="n">
        <v>50</v>
      </c>
      <c r="B54" s="22" t="inlineStr">
        <is>
          <t>Overview</t>
        </is>
      </c>
      <c r="C54" s="9" t="inlineStr">
        <is>
          <t>Format and Storage summary</t>
        </is>
      </c>
      <c r="D54" s="22" t="inlineStr">
        <is>
          <t>Format finding callout</t>
        </is>
      </c>
      <c r="E54" s="9" t="inlineStr">
        <is>
          <t>Text callout</t>
        </is>
      </c>
      <c r="F54" s="9" t="inlineStr">
        <is>
          <t>The format dominating storage is not the one dominating file count</t>
        </is>
      </c>
      <c r="G54" s="9" t="inlineStr">
        <is>
          <t>A sentence comparing the two donuts.</t>
        </is>
      </c>
      <c r="H54" s="24" t="inlineStr">
        <is>
          <t>Needs the document scan</t>
        </is>
      </c>
      <c r="I54" s="9" t="inlineStr">
        <is>
          <t>rpt.utilization_report</t>
        </is>
      </c>
      <c r="J54" s="9" t="inlineStr">
        <is>
          <t>FormatGroup, FileSize</t>
        </is>
      </c>
      <c r="K54" s="9" t="inlineStr">
        <is>
          <t>Gap 2. Two routes, use both. Microsoft Graph returns size on every item so the scan gets it free. For declared records, add a FileSize key to the FileMeta JSON the EDRMS application already writes: a JSON key, not a database migration.</t>
        </is>
      </c>
      <c r="L54" s="9" t="inlineStr">
        <is>
          <t>Yes, and this is the best thing the tenant is for. Rehearse the scan across the 22 libraries in org_csd_1.4testsite, which include permission restricted libraries and hostile filenames. A scan that survives here will survive ADB.</t>
        </is>
      </c>
      <c r="M54" s="30" t="inlineStr">
        <is>
          <t>-- compares the two queries above</t>
        </is>
      </c>
    </row>
    <row r="55" ht="30" customHeight="1">
      <c r="A55" s="28" t="n">
        <v>51</v>
      </c>
      <c r="B55" s="29" t="inlineStr">
        <is>
          <t>Every dashboard</t>
        </is>
      </c>
      <c r="C55" s="28" t="inlineStr">
        <is>
          <t>Header</t>
        </is>
      </c>
      <c r="D55" s="22" t="inlineStr">
        <is>
          <t>Data as of line</t>
        </is>
      </c>
      <c r="E55" s="9" t="inlineStr">
        <is>
          <t>Text label</t>
        </is>
      </c>
      <c r="F55" s="9" t="inlineStr">
        <is>
          <t>Data as of Mon 20 Jul 2026 23:59</t>
        </is>
      </c>
      <c r="G55" s="9" t="inlineStr">
        <is>
          <t>The snapshot date of the underlying data. The Overview quotes the OLDEST across the dashboards it summarises, not the newest, because a summary is only as current as its stalest input.</t>
        </is>
      </c>
      <c r="H55" s="24" t="inlineStr">
        <is>
          <t>Needs the document scan</t>
        </is>
      </c>
      <c r="I55" s="9" t="inlineStr">
        <is>
          <t>rpt.utilization_report and rpt.utilization_site_activity</t>
        </is>
      </c>
      <c r="J55" s="9" t="inlineStr">
        <is>
          <t>SnapshotDate</t>
        </is>
      </c>
      <c r="K55" s="9" t="inlineStr">
        <is>
          <t>Written by the refresh job. Exists the moment the job does.</t>
        </is>
      </c>
      <c r="L55" s="9" t="inlineStr">
        <is>
          <t>Yes. Written by the refresh job, so it exists as soon as the job runs. The test tenant is the right place to run the job for the first time.</t>
        </is>
      </c>
      <c r="M55" s="30" t="inlineStr">
        <is>
          <t>SELECT max("SnapshotDate") FROM rpt.utilization_report;</t>
        </is>
      </c>
    </row>
    <row r="56" ht="30" customHeight="1">
      <c r="A56" s="9" t="n">
        <v>52</v>
      </c>
      <c r="B56" s="22" t="inlineStr">
        <is>
          <t>Every dashboard</t>
        </is>
      </c>
      <c r="C56" s="9" t="inlineStr">
        <is>
          <t>Header</t>
        </is>
      </c>
      <c r="D56" s="22" t="inlineStr">
        <is>
          <t>Refreshed line</t>
        </is>
      </c>
      <c r="E56" s="9" t="inlineStr">
        <is>
          <t>Text label</t>
        </is>
      </c>
      <c r="F56" s="9" t="inlineStr">
        <is>
          <t>refreshed Tue 21 Jul 06:00</t>
        </is>
      </c>
      <c r="G56" s="9" t="inlineStr">
        <is>
          <t>When the refresh job last completed successfully.</t>
        </is>
      </c>
      <c r="H56" s="24" t="inlineStr">
        <is>
          <t>Needs the document scan</t>
        </is>
      </c>
      <c r="I56" s="9" t="inlineStr">
        <is>
          <t>rpt.utilization_report and rpt.utilization_site_activity</t>
        </is>
      </c>
      <c r="J56" s="9" t="inlineStr">
        <is>
          <t>RowLoadedDate</t>
        </is>
      </c>
      <c r="K56" s="9" t="inlineStr">
        <is>
          <t>Written by the refresh job. Lets a failed or partial run be spotted.</t>
        </is>
      </c>
      <c r="L56" s="9" t="inlineStr">
        <is>
          <t>Yes. Written by the refresh job, so it exists as soon as the job runs. The test tenant is the right place to run the job for the first time.</t>
        </is>
      </c>
      <c r="M56" s="30" t="inlineStr">
        <is>
          <t>SELECT max("RowLoadedDate") FROM rpt.utilization_report;</t>
        </is>
      </c>
    </row>
  </sheetData>
  <autoFilter ref="A4:M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2"/>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30" customWidth="1" min="3" max="3"/>
    <col width="14" customWidth="1" min="4" max="4"/>
    <col width="46" customWidth="1" min="5" max="5"/>
    <col width="46" customWidth="1" min="6" max="6"/>
    <col width="22" customWidth="1" min="7" max="7"/>
    <col width="52" customWidth="1" min="8" max="8"/>
    <col width="58" customWidth="1" min="9" max="9"/>
  </cols>
  <sheetData>
    <row r="1">
      <c r="A1" s="19" t="inlineStr">
        <is>
          <t>EVERY COLUMN OF THE TWO TABLES</t>
        </is>
      </c>
    </row>
    <row r="2">
      <c r="A2" s="20" t="inlineStr">
        <is>
          <t>Columns keep the name they already have in the EDRMS database. JSON keys inside FileMeta, EDRMSMeta and ADBMeta become real columns keeping the key name. Workbook rows cite Database_Design_12.03, sheet "4 Records", the 2026.1 block at rows 56 to 82.</t>
        </is>
      </c>
    </row>
    <row r="4" ht="28" customHeight="1">
      <c r="A4" s="21" t="inlineStr">
        <is>
          <t>#</t>
        </is>
      </c>
      <c r="B4" s="21" t="inlineStr">
        <is>
          <t>Table</t>
        </is>
      </c>
      <c r="C4" s="21" t="inlineStr">
        <is>
          <t>Column</t>
        </is>
      </c>
      <c r="D4" s="21" t="inlineStr">
        <is>
          <t>Type</t>
        </is>
      </c>
      <c r="E4" s="21" t="inlineStr">
        <is>
          <t>What it holds</t>
        </is>
      </c>
      <c r="F4" s="21" t="inlineStr">
        <is>
          <t>Which figure it produces</t>
        </is>
      </c>
      <c r="G4" s="21" t="inlineStr">
        <is>
          <t>Status</t>
        </is>
      </c>
      <c r="H4" s="21" t="inlineStr">
        <is>
          <t>Where it is today</t>
        </is>
      </c>
      <c r="I4" s="21" t="inlineStr">
        <is>
          <t>How to source it</t>
        </is>
      </c>
    </row>
    <row r="5" ht="28" customHeight="1">
      <c r="A5" s="9" t="n">
        <v>1</v>
      </c>
      <c r="B5" s="28" t="inlineStr">
        <is>
          <t>Utilization Report Table</t>
        </is>
      </c>
      <c r="C5" s="30" t="inlineStr">
        <is>
          <t>Id</t>
        </is>
      </c>
      <c r="D5" s="9" t="inlineStr">
        <is>
          <t>Unique ID</t>
        </is>
      </c>
      <c r="E5" s="9" t="inlineStr">
        <is>
          <t>Unique row identifier</t>
        </is>
      </c>
      <c r="F5" s="9" t="inlineStr">
        <is>
          <t>None. Identifies the row so a refresh can update or remove it. It does not produce Total Declared Records: that figure counts distinct ListId plus ItemId pairs where IsDeclaredRecord is true and IsDeleted is false</t>
        </is>
      </c>
      <c r="G5" s="23" t="inlineStr">
        <is>
          <t>In the database</t>
        </is>
      </c>
      <c r="H5" s="9" t="inlineStr">
        <is>
          <t>4 Records row 56 (S/N 1) Id. Live Records.Id</t>
        </is>
      </c>
      <c r="I5" s="9" t="inlineStr">
        <is>
          <t>Generated by the refresh job</t>
        </is>
      </c>
    </row>
    <row r="6" ht="28" customHeight="1">
      <c r="A6" s="9" t="n">
        <v>2</v>
      </c>
      <c r="B6" s="9" t="inlineStr">
        <is>
          <t>Utilization Report Table</t>
        </is>
      </c>
      <c r="C6" s="30" t="inlineStr">
        <is>
          <t>SnapshotDate</t>
        </is>
      </c>
      <c r="D6" s="9" t="inlineStr">
        <is>
          <t>Date</t>
        </is>
      </c>
      <c r="E6" s="9" t="inlineStr">
        <is>
          <t>The date this data was captured</t>
        </is>
      </c>
      <c r="F6" s="9" t="inlineStr">
        <is>
          <t>The "Data as of" line, top right of all five dashboards</t>
        </is>
      </c>
      <c r="G6" s="31" t="inlineStr">
        <is>
          <t>New column</t>
        </is>
      </c>
      <c r="H6" s="9" t="inlineStr">
        <is>
          <t>Not in the workbook</t>
        </is>
      </c>
      <c r="I6" s="9" t="inlineStr">
        <is>
          <t>Written by the refresh job. Set it once per run</t>
        </is>
      </c>
    </row>
    <row r="7" ht="28" customHeight="1">
      <c r="A7" s="9" t="n">
        <v>3</v>
      </c>
      <c r="B7" s="9" t="inlineStr">
        <is>
          <t>Utilization Report Table</t>
        </is>
      </c>
      <c r="C7" s="30" t="inlineStr">
        <is>
          <t>DocumentId</t>
        </is>
      </c>
      <c r="D7" s="9" t="inlineStr">
        <is>
          <t>Text</t>
        </is>
      </c>
      <c r="E7" s="9" t="inlineStr">
        <is>
          <t>SharePoint Document ID</t>
        </is>
      </c>
      <c r="F7" s="9" t="inlineStr">
        <is>
          <t>None directly. Stops a renamed or moved file being counted twice, so it protects every count on every dashboard</t>
        </is>
      </c>
      <c r="G7" s="23" t="inlineStr">
        <is>
          <t>In the database</t>
        </is>
      </c>
      <c r="H7" s="9" t="inlineStr">
        <is>
          <t>4 Records row 69 (S/N 14). Live Records.DocumentId</t>
        </is>
      </c>
      <c r="I7" s="9" t="inlineStr">
        <is>
          <t>EDRMS database for declared. Microsoft Graph returns it for the rest</t>
        </is>
      </c>
    </row>
    <row r="8" ht="28" customHeight="1">
      <c r="A8" s="9" t="n">
        <v>4</v>
      </c>
      <c r="B8" s="9" t="inlineStr">
        <is>
          <t>Utilization Report Table</t>
        </is>
      </c>
      <c r="C8" s="30" t="inlineStr">
        <is>
          <t>Title</t>
        </is>
      </c>
      <c r="D8" s="9" t="inlineStr">
        <is>
          <t>Text</t>
        </is>
      </c>
      <c r="E8" s="9" t="inlineStr">
        <is>
          <t>Filename of the file</t>
        </is>
      </c>
      <c r="F8" s="9" t="inlineStr">
        <is>
          <t>None on a chart. Makes an export or a click through readable</t>
        </is>
      </c>
      <c r="G8" s="23" t="inlineStr">
        <is>
          <t>In the database</t>
        </is>
      </c>
      <c r="H8" s="9" t="inlineStr">
        <is>
          <t>4 Records row 66 (S/N 11). Live Records.Title</t>
        </is>
      </c>
      <c r="I8" s="9" t="inlineStr">
        <is>
          <t>EDRMS database, then Microsoft Graph for the rest</t>
        </is>
      </c>
    </row>
    <row r="9" ht="28" customHeight="1">
      <c r="A9" s="9" t="n">
        <v>5</v>
      </c>
      <c r="B9" s="9" t="inlineStr">
        <is>
          <t>Utilization Report Table</t>
        </is>
      </c>
      <c r="C9" s="30" t="inlineStr">
        <is>
          <t>DocumentUrl</t>
        </is>
      </c>
      <c r="D9" s="9" t="inlineStr">
        <is>
          <t>Text</t>
        </is>
      </c>
      <c r="E9" s="9" t="inlineStr">
        <is>
          <t>Direct link to the document</t>
        </is>
      </c>
      <c r="F9" s="9" t="inlineStr">
        <is>
          <t>None. The click through from the report to the document</t>
        </is>
      </c>
      <c r="G9" s="23" t="inlineStr">
        <is>
          <t>Derived at load</t>
        </is>
      </c>
      <c r="H9" s="9" t="inlineStr">
        <is>
          <t>Not stored. Built from rows 70, 72, 74, 66</t>
        </is>
      </c>
      <c r="I9" s="9" t="inlineStr">
        <is>
          <t>Assemble at load from SiteUrl, LibraryUrl, FolderPath and Title</t>
        </is>
      </c>
    </row>
    <row r="10" ht="28" customHeight="1">
      <c r="A10" s="9" t="n">
        <v>6</v>
      </c>
      <c r="B10" s="9" t="inlineStr">
        <is>
          <t>Utilization Report Table</t>
        </is>
      </c>
      <c r="C10" s="30" t="inlineStr">
        <is>
          <t>FileType</t>
        </is>
      </c>
      <c r="D10" s="9" t="inlineStr">
        <is>
          <t>Text</t>
        </is>
      </c>
      <c r="E10" s="9" t="inlineStr">
        <is>
          <t>File extension, lowercase</t>
        </is>
      </c>
      <c r="F10" s="9" t="inlineStr">
        <is>
          <t>Feeds FormatGroup. Also the Format label on each row of the Storage Consumed by Format table</t>
        </is>
      </c>
      <c r="G10" s="23" t="inlineStr">
        <is>
          <t>In the database</t>
        </is>
      </c>
      <c r="H10" s="9" t="inlineStr">
        <is>
          <t>4 Records row 75 (S/N 20) FileMeta key FileType. Live Records.FileMeta</t>
        </is>
      </c>
      <c r="I10" s="9" t="inlineStr">
        <is>
          <t>EDRMS database, then Microsoft Graph for the rest</t>
        </is>
      </c>
    </row>
    <row r="11" ht="28" customHeight="1">
      <c r="A11" s="9" t="n">
        <v>7</v>
      </c>
      <c r="B11" s="9" t="inlineStr">
        <is>
          <t>Utilization Report Table</t>
        </is>
      </c>
      <c r="C11" s="30" t="inlineStr">
        <is>
          <t>FormatGroup</t>
        </is>
      </c>
      <c r="D11" s="9" t="inlineStr">
        <is>
          <t>Choice</t>
        </is>
      </c>
      <c r="E11" s="9" t="inlineStr">
        <is>
          <t>The grouping the report displays</t>
        </is>
      </c>
      <c r="F11" s="9" t="inlineStr">
        <is>
          <t>Format and Storage: all 8 rows of Storage Consumed by Format, the Most Common Format KPI (PDF), the declared records by format bars. Overview: the share of storage donut and the share of files donut</t>
        </is>
      </c>
      <c r="G11" s="23" t="inlineStr">
        <is>
          <t>Derived at load</t>
        </is>
      </c>
      <c r="H11" s="9" t="inlineStr">
        <is>
          <t>Not in the workbook</t>
        </is>
      </c>
      <c r="I11" s="9" t="inlineStr">
        <is>
          <t>A lookup list mapping extension to group. RAC owns the list; the eight groups are already fixed in the prototype</t>
        </is>
      </c>
    </row>
    <row r="12" ht="28" customHeight="1">
      <c r="A12" s="9" t="n">
        <v>8</v>
      </c>
      <c r="B12" s="9" t="inlineStr">
        <is>
          <t>Utilization Report Table</t>
        </is>
      </c>
      <c r="C12" s="30" t="inlineStr">
        <is>
          <t>FileSize</t>
        </is>
      </c>
      <c r="D12" s="9" t="inlineStr">
        <is>
          <t>Whole number</t>
        </is>
      </c>
      <c r="E12" s="9" t="inlineStr">
        <is>
          <t>Size of the file in bytes</t>
        </is>
      </c>
      <c r="F12" s="9" t="inlineStr">
        <is>
          <t>Format and Storage: the Storage GB column, the Avg file size MB column, the 46.7 GB KPI. Sites and Libraries: Largest Libraries bars, the 43.1 GB KPI, the avg file size sort. Overview: the storage KPI card and the share of storage donut</t>
        </is>
      </c>
      <c r="G12" s="25" t="inlineStr">
        <is>
          <t>Missing, blocks a figure</t>
        </is>
      </c>
      <c r="H12" s="9" t="inlineStr">
        <is>
          <t>4 Records row 75 FileMeta holds FileType, FileCreatedDate, SensitivityLabelName and SensitivityLabelID. No size key</t>
        </is>
      </c>
      <c r="I12" s="9" t="inlineStr">
        <is>
          <t>Two routes, and you want both. Microsoft Graph returns size on every driveItem, so the weekly scan gets it at no extra cost. For declared records captured at declaration time, add a FileSize key to the FileMeta JSON the EDRMS application already writes: a JSON key, not a database migration</t>
        </is>
      </c>
    </row>
    <row r="13" ht="28" customHeight="1">
      <c r="A13" s="9" t="n">
        <v>9</v>
      </c>
      <c r="B13" s="9" t="inlineStr">
        <is>
          <t>Utilization Report Table</t>
        </is>
      </c>
      <c r="C13" s="30" t="inlineStr">
        <is>
          <t>FileCreatedDate</t>
        </is>
      </c>
      <c r="D13" s="9" t="inlineStr">
        <is>
          <t>Date and time</t>
        </is>
      </c>
      <c r="E13" s="9" t="inlineStr">
        <is>
          <t>When the file itself was created</t>
        </is>
      </c>
      <c r="F13" s="9" t="inlineStr">
        <is>
          <t>Records Management: the date range filter on the Total Documents in EDRMS Compliant Sites panel</t>
        </is>
      </c>
      <c r="G13" s="23" t="inlineStr">
        <is>
          <t>In the database</t>
        </is>
      </c>
      <c r="H13" s="9" t="inlineStr">
        <is>
          <t>4 Records row 75 (S/N 20) FileMeta key FileCreatedDate. Live Records.FileMeta</t>
        </is>
      </c>
      <c r="I13" s="9" t="inlineStr">
        <is>
          <t>EDRMS database, then Microsoft Graph createdDateTime for the rest</t>
        </is>
      </c>
    </row>
    <row r="14" ht="28" customHeight="1">
      <c r="A14" s="9" t="n">
        <v>10</v>
      </c>
      <c r="B14" s="9" t="inlineStr">
        <is>
          <t>Utilization Report Table</t>
        </is>
      </c>
      <c r="C14" s="30" t="inlineStr">
        <is>
          <t>FileModifiedDate</t>
        </is>
      </c>
      <c r="D14" s="9" t="inlineStr">
        <is>
          <t>Date and time</t>
        </is>
      </c>
      <c r="E14" s="9" t="inlineStr">
        <is>
          <t>When the file itself was last changed</t>
        </is>
      </c>
      <c r="F14" s="9" t="inlineStr">
        <is>
          <t>None today. Needed for any future stale content view</t>
        </is>
      </c>
      <c r="G14" s="31" t="inlineStr">
        <is>
          <t>New column</t>
        </is>
      </c>
      <c r="H14" s="9" t="inlineStr">
        <is>
          <t>Records.ModifiedDate exists but means when the record row changed, not the file</t>
        </is>
      </c>
      <c r="I14" s="9" t="inlineStr">
        <is>
          <t>Microsoft Graph lastModifiedDateTime, from the same scan</t>
        </is>
      </c>
    </row>
    <row r="15" ht="28" customHeight="1">
      <c r="A15" s="9" t="n">
        <v>11</v>
      </c>
      <c r="B15" s="9" t="inlineStr">
        <is>
          <t>Utilization Report Table</t>
        </is>
      </c>
      <c r="C15" s="30" t="inlineStr">
        <is>
          <t>FolderPath</t>
        </is>
      </c>
      <c r="D15" s="9" t="inlineStr">
        <is>
          <t>Text</t>
        </is>
      </c>
      <c r="E15" s="9" t="inlineStr">
        <is>
          <t>Folder path inside the library</t>
        </is>
      </c>
      <c r="F15" s="9" t="inlineStr">
        <is>
          <t>None. Builds DocumentUrl and separates folders inside one library</t>
        </is>
      </c>
      <c r="G15" s="23" t="inlineStr">
        <is>
          <t>In the database</t>
        </is>
      </c>
      <c r="H15" s="9" t="inlineStr">
        <is>
          <t>4 Records row 74 (S/N 19). Live Records.FolderPath</t>
        </is>
      </c>
      <c r="I15" s="9" t="inlineStr">
        <is>
          <t>EDRMS database, then Microsoft Graph for the rest</t>
        </is>
      </c>
    </row>
    <row r="16" ht="28" customHeight="1">
      <c r="A16" s="9" t="n">
        <v>12</v>
      </c>
      <c r="B16" s="9" t="inlineStr">
        <is>
          <t>Utilization Report Table</t>
        </is>
      </c>
      <c r="C16" s="30" t="inlineStr">
        <is>
          <t>LibraryName</t>
        </is>
      </c>
      <c r="D16" s="9" t="inlineStr">
        <is>
          <t>Text</t>
        </is>
      </c>
      <c r="E16" s="9" t="inlineStr">
        <is>
          <t>Name of the library holding the file</t>
        </is>
      </c>
      <c r="F16" s="9" t="inlineStr">
        <is>
          <t>Records Management: level 4 of both drill downs. Sites and Libraries: the row label on Libraries Declaration Rate and on Largest Libraries</t>
        </is>
      </c>
      <c r="G16" s="23" t="inlineStr">
        <is>
          <t>In the database</t>
        </is>
      </c>
      <c r="H16" s="9" t="inlineStr">
        <is>
          <t>4 Records row 73 (S/N 18). Live Records.LibraryName</t>
        </is>
      </c>
      <c r="I16" s="9" t="inlineStr">
        <is>
          <t>EDRMS database, then Microsoft Graph for the rest</t>
        </is>
      </c>
    </row>
    <row r="17" ht="28" customHeight="1">
      <c r="A17" s="9" t="n">
        <v>13</v>
      </c>
      <c r="B17" s="9" t="inlineStr">
        <is>
          <t>Utilization Report Table</t>
        </is>
      </c>
      <c r="C17" s="30" t="inlineStr">
        <is>
          <t>LibraryUrl</t>
        </is>
      </c>
      <c r="D17" s="9" t="inlineStr">
        <is>
          <t>Text</t>
        </is>
      </c>
      <c r="E17" s="9" t="inlineStr">
        <is>
          <t>URL of the library</t>
        </is>
      </c>
      <c r="F17" s="9" t="inlineStr">
        <is>
          <t>None. Click through to the library</t>
        </is>
      </c>
      <c r="G17" s="23" t="inlineStr">
        <is>
          <t>In the database</t>
        </is>
      </c>
      <c r="H17" s="9" t="inlineStr">
        <is>
          <t>4 Records row 72 (S/N 17). Live Records.LibraryUrl</t>
        </is>
      </c>
      <c r="I17" s="9" t="inlineStr">
        <is>
          <t>EDRMS database, then Microsoft Graph for the rest</t>
        </is>
      </c>
    </row>
    <row r="18" ht="28" customHeight="1">
      <c r="A18" s="9" t="n">
        <v>14</v>
      </c>
      <c r="B18" s="9" t="inlineStr">
        <is>
          <t>Utilization Report Table</t>
        </is>
      </c>
      <c r="C18" s="30" t="inlineStr">
        <is>
          <t>ListId</t>
        </is>
      </c>
      <c r="D18" s="9" t="inlineStr">
        <is>
          <t>Unique ID</t>
        </is>
      </c>
      <c r="E18" s="9" t="inlineStr">
        <is>
          <t>SharePoint library ID</t>
        </is>
      </c>
      <c r="F18" s="9" t="inlineStr">
        <is>
          <t>None directly. The grouping key behind Libraries Declaration Rate and Largest Libraries, because library names can change</t>
        </is>
      </c>
      <c r="G18" s="23" t="inlineStr">
        <is>
          <t>In the database</t>
        </is>
      </c>
      <c r="H18" s="9" t="inlineStr">
        <is>
          <t>4 Records row 67 (S/N 12). Live Records.ListId</t>
        </is>
      </c>
      <c r="I18" s="9" t="inlineStr">
        <is>
          <t>EDRMS database, then Microsoft Graph for the rest</t>
        </is>
      </c>
    </row>
    <row r="19" ht="28" customHeight="1">
      <c r="A19" s="9" t="n">
        <v>15</v>
      </c>
      <c r="B19" s="9" t="inlineStr">
        <is>
          <t>Utilization Report Table</t>
        </is>
      </c>
      <c r="C19" s="30" t="inlineStr">
        <is>
          <t>ItemId</t>
        </is>
      </c>
      <c r="D19" s="9" t="inlineStr">
        <is>
          <t>Whole number</t>
        </is>
      </c>
      <c r="E19" s="9" t="inlineStr">
        <is>
          <t>SharePoint item ID within the library</t>
        </is>
      </c>
      <c r="F19" s="9" t="inlineStr">
        <is>
          <t>None on its own. With ListId it identifies the row, which is what stops a document declared twice being counted twice</t>
        </is>
      </c>
      <c r="G19" s="23" t="inlineStr">
        <is>
          <t>In the database</t>
        </is>
      </c>
      <c r="H19" s="9" t="inlineStr">
        <is>
          <t>4 Records row 68 (S/N 13). Live Records.ItemId</t>
        </is>
      </c>
      <c r="I19" s="9" t="inlineStr">
        <is>
          <t>EDRMS database, then Microsoft Graph for the rest</t>
        </is>
      </c>
    </row>
    <row r="20" ht="28" customHeight="1">
      <c r="A20" s="9" t="n">
        <v>16</v>
      </c>
      <c r="B20" s="9" t="inlineStr">
        <is>
          <t>Utilization Report Table</t>
        </is>
      </c>
      <c r="C20" s="30" t="inlineStr">
        <is>
          <t>ADBLibraryCategory</t>
        </is>
      </c>
      <c r="D20" s="9" t="inlineStr">
        <is>
          <t>Text</t>
        </is>
      </c>
      <c r="E20" s="9" t="inlineStr">
        <is>
          <t>Library category</t>
        </is>
      </c>
      <c r="F20" s="9" t="inlineStr">
        <is>
          <t>None today. The natural grouping for Department Performance when it is built</t>
        </is>
      </c>
      <c r="G20" s="24" t="inlineStr">
        <is>
          <t>Designed, not built</t>
        </is>
      </c>
      <c r="H20" s="9" t="inlineStr">
        <is>
          <t>4 Records row 76 (S/N 21) ADBMeta, marked Future Enhancement. Also Library row 6 and ADBMaster rows 22 to 24, neither built. Live Records.ADBMeta is empty</t>
        </is>
      </c>
      <c r="I20" s="9" t="inlineStr">
        <is>
          <t>Available now without waiting for ADBMeta. The Retention Label Mapping list in app_edrms_data_uat holds it as "Library Type" per library. Join on library and you have it today</t>
        </is>
      </c>
    </row>
    <row r="21" ht="28" customHeight="1">
      <c r="A21" s="9" t="n">
        <v>17</v>
      </c>
      <c r="B21" s="9" t="inlineStr">
        <is>
          <t>Utilization Report Table</t>
        </is>
      </c>
      <c r="C21" s="30" t="inlineStr">
        <is>
          <t>SiteName</t>
        </is>
      </c>
      <c r="D21" s="9" t="inlineStr">
        <is>
          <t>Text</t>
        </is>
      </c>
      <c r="E21" s="9" t="inlineStr">
        <is>
          <t>Name of the site holding the file</t>
        </is>
      </c>
      <c r="F21" s="9" t="inlineStr">
        <is>
          <t>Records Management: level 3 of both drill downs, and the row label on Active Departmental Sites. Sites and Libraries: the "in site" sub label under each library</t>
        </is>
      </c>
      <c r="G21" s="23" t="inlineStr">
        <is>
          <t>In the database</t>
        </is>
      </c>
      <c r="H21" s="9" t="inlineStr">
        <is>
          <t>4 Records row 71 (S/N 16). Also Site row 14. Live Records.SiteName and ADBSites.SiteName</t>
        </is>
      </c>
      <c r="I21" s="9" t="inlineStr">
        <is>
          <t>EDRMS database. ADBSites also carries it for every tracked site</t>
        </is>
      </c>
    </row>
    <row r="22" ht="28" customHeight="1">
      <c r="A22" s="9" t="n">
        <v>18</v>
      </c>
      <c r="B22" s="9" t="inlineStr">
        <is>
          <t>Utilization Report Table</t>
        </is>
      </c>
      <c r="C22" s="30" t="inlineStr">
        <is>
          <t>SiteUrl</t>
        </is>
      </c>
      <c r="D22" s="9" t="inlineStr">
        <is>
          <t>Text</t>
        </is>
      </c>
      <c r="E22" s="9" t="inlineStr">
        <is>
          <t>URL of the site holding the file</t>
        </is>
      </c>
      <c r="F22" s="9" t="inlineStr">
        <is>
          <t>None. Joins this table to the Site Activity Table</t>
        </is>
      </c>
      <c r="G22" s="23" t="inlineStr">
        <is>
          <t>In the database</t>
        </is>
      </c>
      <c r="H22" s="9" t="inlineStr">
        <is>
          <t>4 Records row 70 (S/N 15). Also Site row 13. Live Records.SiteUrl and ADBSites.SiteUrl</t>
        </is>
      </c>
      <c r="I22" s="9" t="inlineStr">
        <is>
          <t>EDRMS database and ADBSites</t>
        </is>
      </c>
    </row>
    <row r="23" ht="28" customHeight="1">
      <c r="A23" s="9" t="n">
        <v>19</v>
      </c>
      <c r="B23" s="9" t="inlineStr">
        <is>
          <t>Utilization Report Table</t>
        </is>
      </c>
      <c r="C23" s="30" t="inlineStr">
        <is>
          <t>SiteCreatedDate</t>
        </is>
      </c>
      <c r="D23" s="9" t="inlineStr">
        <is>
          <t>Date</t>
        </is>
      </c>
      <c r="E23" s="9" t="inlineStr">
        <is>
          <t>When the SharePoint site was created</t>
        </is>
      </c>
      <c r="F23" s="9" t="inlineStr">
        <is>
          <t>None from this table. A copy of the Site Activity value, so a document can be filtered by site age without a join</t>
        </is>
      </c>
      <c r="G23" s="25" t="inlineStr">
        <is>
          <t>Missing, blocks a figure</t>
        </is>
      </c>
      <c r="H23" s="9" t="inlineStr">
        <is>
          <t>Site row 6 is CreatedDate, but that is when the row was created in EDRMS, not when the SharePoint site was created. Not in ADBSites</t>
        </is>
      </c>
      <c r="I23" s="9" t="inlineStr">
        <is>
          <t>SharePoint admin centre, Active sites view, the "Created" column, exportable to CSV. Microsoft Graph /sites returns createdDateTime for a scripted version. AvePoint Cloud Governance holds the provisioning date if the site was provisioned through it</t>
        </is>
      </c>
    </row>
    <row r="24" ht="28" customHeight="1">
      <c r="A24" s="9" t="n">
        <v>20</v>
      </c>
      <c r="B24" s="9" t="inlineStr">
        <is>
          <t>Utilization Report Table</t>
        </is>
      </c>
      <c r="C24" s="30" t="inlineStr">
        <is>
          <t>IsEdrmsCompliant</t>
        </is>
      </c>
      <c r="D24" s="9" t="inlineStr">
        <is>
          <t>Yes / No</t>
        </is>
      </c>
      <c r="E24" s="9" t="inlineStr">
        <is>
          <t>Whether the parent site is an EDRMS compliant site</t>
        </is>
      </c>
      <c r="F24" s="9" t="inlineStr">
        <is>
          <t>Records Management: decides which documents count toward Total Documents in EDRMS Compliant Sites, 3.47M. Defines the population of the entire table</t>
        </is>
      </c>
      <c r="G24" s="25" t="inlineStr">
        <is>
          <t>Missing, blocks a figure</t>
        </is>
      </c>
      <c r="H24" s="9" t="inlineStr">
        <is>
          <t>No such column and no rule anywhere in the workbook or the database</t>
        </is>
      </c>
      <c r="I24" s="9" t="inlineStr">
        <is>
          <t>No system holds this. It is a definition, not a lookup. RAC picks one of three: a maintained list of compliant site URLs, which is simplest and can start today in a SharePoint list beside the Retention Label Mapping list; a site template check, if compliant sites use a distinct template; or an AvePoint Cloud Governance flag, if compliant sites are provisioned through a specific request form</t>
        </is>
      </c>
    </row>
    <row r="25" ht="28" customHeight="1">
      <c r="A25" s="9" t="n">
        <v>21</v>
      </c>
      <c r="B25" s="9" t="inlineStr">
        <is>
          <t>Utilization Report Table</t>
        </is>
      </c>
      <c r="C25" s="30" t="inlineStr">
        <is>
          <t>ADBDepartmentOwner</t>
        </is>
      </c>
      <c r="D25" s="9" t="inlineStr">
        <is>
          <t>Text</t>
        </is>
      </c>
      <c r="E25" s="9" t="inlineStr">
        <is>
          <t>Owning department</t>
        </is>
      </c>
      <c r="F25" s="9" t="inlineStr">
        <is>
          <t>Records Management: level 1 of both drill downs, and the department filter on 4 panels. Sites and Libraries: the department filter and the treemap grouping. Overview: top 5 departments by declared records and top 5 by compliant sites</t>
        </is>
      </c>
      <c r="G25" s="25" t="inlineStr">
        <is>
          <t>Missing, blocks a figure</t>
        </is>
      </c>
      <c r="H25" s="9" t="inlineStr">
        <is>
          <t>4 Records row 76 (S/N 21) ADBMeta key ADBDepartmentOwner, marked Future Enhancement. Values in ADBMaster rows 13 to 15, never built. Live Records.ADBMeta is empty</t>
        </is>
      </c>
      <c r="I25" s="9" t="inlineStr">
        <is>
          <t>The vocabulary already exists, populated in the SharePoint term store under Managed Metadata. What is missing is the link from a site to its department. Best source: AvePoint Cloud Governance, which records the requesting department when a site is provisioned. Fallback: RAC maintains a site to department list once, about 1,057 rows, in a SharePoint list. Attach it to the site, not to each record, and every document inherits it</t>
        </is>
      </c>
    </row>
    <row r="26" ht="28" customHeight="1">
      <c r="A26" s="9" t="n">
        <v>22</v>
      </c>
      <c r="B26" s="9" t="inlineStr">
        <is>
          <t>Utilization Report Table</t>
        </is>
      </c>
      <c r="C26" s="30" t="inlineStr">
        <is>
          <t>ADBDivisionOwner</t>
        </is>
      </c>
      <c r="D26" s="9" t="inlineStr">
        <is>
          <t>Text</t>
        </is>
      </c>
      <c r="E26" s="9" t="inlineStr">
        <is>
          <t>Owning division</t>
        </is>
      </c>
      <c r="F26" s="9" t="inlineStr">
        <is>
          <t>Records Management: level 2 of both drill downs</t>
        </is>
      </c>
      <c r="G26" s="25" t="inlineStr">
        <is>
          <t>Missing, blocks a figure</t>
        </is>
      </c>
      <c r="H26" s="9" t="inlineStr">
        <is>
          <t>Same as ADBDepartmentOwner. Values in ADBMaster rows 16 to 18</t>
        </is>
      </c>
      <c r="I26" s="9" t="inlineStr">
        <is>
          <t>Same as ADBDepartmentOwner. The Division vocabulary in the term store is hierarchical, so division rolls up to department on its own</t>
        </is>
      </c>
    </row>
    <row r="27" ht="28" customHeight="1">
      <c r="A27" s="9" t="n">
        <v>23</v>
      </c>
      <c r="B27" s="9" t="inlineStr">
        <is>
          <t>Utilization Report Table</t>
        </is>
      </c>
      <c r="C27" s="30" t="inlineStr">
        <is>
          <t>ADBUnitOwner</t>
        </is>
      </c>
      <c r="D27" s="9" t="inlineStr">
        <is>
          <t>Text</t>
        </is>
      </c>
      <c r="E27" s="9" t="inlineStr">
        <is>
          <t>Owning unit</t>
        </is>
      </c>
      <c r="F27" s="9" t="inlineStr">
        <is>
          <t>None today. No current dashboard uses it</t>
        </is>
      </c>
      <c r="G27" s="24" t="inlineStr">
        <is>
          <t>Designed, not built</t>
        </is>
      </c>
      <c r="H27" s="9" t="inlineStr">
        <is>
          <t>Same as above. Values in ADBMaster rows 19 to 21</t>
        </is>
      </c>
      <c r="I27" s="9" t="inlineStr">
        <is>
          <t>Same as above. Collect it while collecting the other two, or leave it blank</t>
        </is>
      </c>
    </row>
    <row r="28" ht="28" customHeight="1">
      <c r="A28" s="9" t="n">
        <v>24</v>
      </c>
      <c r="B28" s="9" t="inlineStr">
        <is>
          <t>Utilization Report Table</t>
        </is>
      </c>
      <c r="C28" s="30" t="inlineStr">
        <is>
          <t>IsDeclaredRecord</t>
        </is>
      </c>
      <c r="D28" s="9" t="inlineStr">
        <is>
          <t>Yes / No</t>
        </is>
      </c>
      <c r="E28" s="9" t="inlineStr">
        <is>
          <t>Whether this document has been declared a record</t>
        </is>
      </c>
      <c r="F28" s="9" t="inlineStr">
        <is>
          <t>Records Management: Total Declared Records 21,646 and every bar under it, counted over distinct items rather than rows. Sites and Libraries: the declared half of Libraries Declaration Rate and the rate itself. Format and Storage: declared records by format. Overview: 3 of the 5 KPI cards, the physical counterpart donut, the library declared donut, the share of files donut. Retention: every figure</t>
        </is>
      </c>
      <c r="G28" s="31" t="inlineStr">
        <is>
          <t>New column</t>
        </is>
      </c>
      <c r="H28" s="9" t="inlineStr">
        <is>
          <t>Not a column today, because every row in Records already is a declared record</t>
        </is>
      </c>
      <c r="I28" s="9" t="inlineStr">
        <is>
          <t>Derived at load: true where the document is present in Records, false where the scan found it but Records does not. Costs nothing beyond running the scan</t>
        </is>
      </c>
    </row>
    <row r="29" ht="28" customHeight="1">
      <c r="A29" s="9" t="n">
        <v>25</v>
      </c>
      <c r="B29" s="9" t="inlineStr">
        <is>
          <t>Utilization Report Table</t>
        </is>
      </c>
      <c r="C29" s="30" t="inlineStr">
        <is>
          <t>CreatedDate</t>
        </is>
      </c>
      <c r="D29" s="9" t="inlineStr">
        <is>
          <t>Date and time</t>
        </is>
      </c>
      <c r="E29" s="9" t="inlineStr">
        <is>
          <t>Date when the user declared the file as a record</t>
        </is>
      </c>
      <c r="F29" s="9" t="inlineStr">
        <is>
          <t>Records Management: the date range filter on Total Declared Records, and the in range subtotal line under it</t>
        </is>
      </c>
      <c r="G29" s="23" t="inlineStr">
        <is>
          <t>In the database</t>
        </is>
      </c>
      <c r="H29" s="9" t="inlineStr">
        <is>
          <t>4 Records row 59 (S/N 4), described as "When the User Declared the file as a Record". Live Records.CreatedDate</t>
        </is>
      </c>
      <c r="I29" s="9" t="inlineStr">
        <is>
          <t>EDRMS database. Blank for undeclared documents, which is correct</t>
        </is>
      </c>
    </row>
    <row r="30" ht="28" customHeight="1">
      <c r="A30" s="9" t="n">
        <v>26</v>
      </c>
      <c r="B30" s="9" t="inlineStr">
        <is>
          <t>Utilization Report Table</t>
        </is>
      </c>
      <c r="C30" s="30" t="inlineStr">
        <is>
          <t>CreatedBy</t>
        </is>
      </c>
      <c r="D30" s="9" t="inlineStr">
        <is>
          <t>Text</t>
        </is>
      </c>
      <c r="E30" s="9" t="inlineStr">
        <is>
          <t>Email or ID of the user that declared the record</t>
        </is>
      </c>
      <c r="F30" s="9" t="inlineStr">
        <is>
          <t>None today. Supports a declarations by user view</t>
        </is>
      </c>
      <c r="G30" s="23" t="inlineStr">
        <is>
          <t>In the database</t>
        </is>
      </c>
      <c r="H30" s="9" t="inlineStr">
        <is>
          <t>4 Records row 60 (S/N 5). Live Records.CreatedBy</t>
        </is>
      </c>
      <c r="I30" s="9" t="inlineStr">
        <is>
          <t>EDRMS database</t>
        </is>
      </c>
    </row>
    <row r="31" ht="28" customHeight="1">
      <c r="A31" s="9" t="n">
        <v>27</v>
      </c>
      <c r="B31" s="9" t="inlineStr">
        <is>
          <t>Utilization Report Table</t>
        </is>
      </c>
      <c r="C31" s="30" t="inlineStr">
        <is>
          <t>DeclarationType</t>
        </is>
      </c>
      <c r="D31" s="9" t="inlineStr">
        <is>
          <t>Whole number</t>
        </is>
      </c>
      <c r="E31" s="9" t="inlineStr">
        <is>
          <t>Regular or centralized declaration, as a code</t>
        </is>
      </c>
      <c r="F31" s="9" t="inlineStr">
        <is>
          <t>None today. Separates Regular from Centralized declarations</t>
        </is>
      </c>
      <c r="G31" s="23" t="inlineStr">
        <is>
          <t>In the database</t>
        </is>
      </c>
      <c r="H31" s="9" t="inlineStr">
        <is>
          <t>4 Records row 82 (S/N 27) shows it as release 2026.2, but the deployed table has it as an integer today</t>
        </is>
      </c>
      <c r="I31" s="9" t="inlineStr">
        <is>
          <t>EDRMS database, available now. Confirm the code to label mapping with the development team</t>
        </is>
      </c>
    </row>
    <row r="32" ht="28" customHeight="1">
      <c r="A32" s="9" t="n">
        <v>28</v>
      </c>
      <c r="B32" s="9" t="inlineStr">
        <is>
          <t>Utilization Report Table</t>
        </is>
      </c>
      <c r="C32" s="30" t="inlineStr">
        <is>
          <t>HasPhysical</t>
        </is>
      </c>
      <c r="D32" s="9" t="inlineStr">
        <is>
          <t>Yes / No</t>
        </is>
      </c>
      <c r="E32" s="9" t="inlineStr">
        <is>
          <t>Whether the file has a physical counterpart</t>
        </is>
      </c>
      <c r="F32" s="9" t="inlineStr">
        <is>
          <t>Records Management: the two colour split on every bar of Total Declared Records. Overview: the physical counterpart donut</t>
        </is>
      </c>
      <c r="G32" s="23" t="inlineStr">
        <is>
          <t>In the database</t>
        </is>
      </c>
      <c r="H32" s="9" t="inlineStr">
        <is>
          <t>4 Records row 77 (S/N 22) EDRMSMeta key HasPhysical. Live Records.EDRMSMeta</t>
        </is>
      </c>
      <c r="I32" s="9" t="inlineStr">
        <is>
          <t>EDRMS database. Undeclared documents are neither, so leave it blank rather than false</t>
        </is>
      </c>
    </row>
    <row r="33" ht="28" customHeight="1">
      <c r="A33" s="9" t="n">
        <v>29</v>
      </c>
      <c r="B33" s="9" t="inlineStr">
        <is>
          <t>Utilization Report Table</t>
        </is>
      </c>
      <c r="C33" s="30" t="inlineStr">
        <is>
          <t>PhysicalCounterpartRetention</t>
        </is>
      </c>
      <c r="D33" s="9" t="inlineStr">
        <is>
          <t>Choice</t>
        </is>
      </c>
      <c r="E33" s="9" t="inlineStr">
        <is>
          <t>Retention that applies to the physical copy</t>
        </is>
      </c>
      <c r="F33" s="9" t="inlineStr">
        <is>
          <t>None today</t>
        </is>
      </c>
      <c r="G33" s="23" t="inlineStr">
        <is>
          <t>In the database</t>
        </is>
      </c>
      <c r="H33" s="9" t="inlineStr">
        <is>
          <t>Not in the workbook</t>
        </is>
      </c>
      <c r="I33" s="9" t="inlineStr">
        <is>
          <t>Retention Label Mapping list in app_edrms_data_uat, column "Physical Counterpart". Maintained per library, so join on library</t>
        </is>
      </c>
    </row>
    <row r="34" ht="28" customHeight="1">
      <c r="A34" s="9" t="n">
        <v>30</v>
      </c>
      <c r="B34" s="9" t="inlineStr">
        <is>
          <t>Utilization Report Table</t>
        </is>
      </c>
      <c r="C34" s="30" t="inlineStr">
        <is>
          <t>EDRMSRetentionLabel</t>
        </is>
      </c>
      <c r="D34" s="9" t="inlineStr">
        <is>
          <t>Text</t>
        </is>
      </c>
      <c r="E34" s="9" t="inlineStr">
        <is>
          <t>Retention label applied to the file</t>
        </is>
      </c>
      <c r="F34" s="9" t="inlineStr">
        <is>
          <t>Retention, not yet built</t>
        </is>
      </c>
      <c r="G34" s="23" t="inlineStr">
        <is>
          <t>In the database</t>
        </is>
      </c>
      <c r="H34" s="9" t="inlineStr">
        <is>
          <t>4 Records row 78 (S/N 23). Live Records.EDRMSRetentionLabel</t>
        </is>
      </c>
      <c r="I34" s="9" t="inlineStr">
        <is>
          <t>EDRMS database. Also per library in the Retention Label Mapping list</t>
        </is>
      </c>
    </row>
    <row r="35" ht="28" customHeight="1">
      <c r="A35" s="9" t="n">
        <v>31</v>
      </c>
      <c r="B35" s="9" t="inlineStr">
        <is>
          <t>Utilization Report Table</t>
        </is>
      </c>
      <c r="C35" s="30" t="inlineStr">
        <is>
          <t>EDRMSDuration</t>
        </is>
      </c>
      <c r="D35" s="9" t="inlineStr">
        <is>
          <t>Text</t>
        </is>
      </c>
      <c r="E35" s="9" t="inlineStr">
        <is>
          <t>Duration length of the retention label</t>
        </is>
      </c>
      <c r="F35" s="9" t="inlineStr">
        <is>
          <t>Feeds EDRMSDueDateForDisposal</t>
        </is>
      </c>
      <c r="G35" s="23" t="inlineStr">
        <is>
          <t>In the database</t>
        </is>
      </c>
      <c r="H35" s="9" t="inlineStr">
        <is>
          <t>4 Records row 80 (S/N 25). Live Records.EDRMSDuration</t>
        </is>
      </c>
      <c r="I35" s="9" t="inlineStr">
        <is>
          <t>EDRMS database. Also "Retention Duration" per library in the mapping list</t>
        </is>
      </c>
    </row>
    <row r="36" ht="28" customHeight="1">
      <c r="A36" s="9" t="n">
        <v>32</v>
      </c>
      <c r="B36" s="9" t="inlineStr">
        <is>
          <t>Utilization Report Table</t>
        </is>
      </c>
      <c r="C36" s="30" t="inlineStr">
        <is>
          <t>EDRMSRetentionLabelApplied</t>
        </is>
      </c>
      <c r="D36" s="9" t="inlineStr">
        <is>
          <t>Date and time</t>
        </is>
      </c>
      <c r="E36" s="9" t="inlineStr">
        <is>
          <t>Date the retention label was applied</t>
        </is>
      </c>
      <c r="F36" s="9" t="inlineStr">
        <is>
          <t>Feeds EDRMSDueDateForDisposal. Deliberately not used to date declarations</t>
        </is>
      </c>
      <c r="G36" s="23" t="inlineStr">
        <is>
          <t>In the database</t>
        </is>
      </c>
      <c r="H36" s="9" t="inlineStr">
        <is>
          <t>4 Records row 79 (S/N 24), described as the basis for the duration computation. Live Records.EDRMSRetentionLabelApplied</t>
        </is>
      </c>
      <c r="I36" s="9" t="inlineStr">
        <is>
          <t>EDRMS database</t>
        </is>
      </c>
    </row>
    <row r="37" ht="28" customHeight="1">
      <c r="A37" s="9" t="n">
        <v>33</v>
      </c>
      <c r="B37" s="9" t="inlineStr">
        <is>
          <t>Utilization Report Table</t>
        </is>
      </c>
      <c r="C37" s="30" t="inlineStr">
        <is>
          <t>EDRMSDueDateForDisposal</t>
        </is>
      </c>
      <c r="D37" s="9" t="inlineStr">
        <is>
          <t>Date</t>
        </is>
      </c>
      <c r="E37" s="9" t="inlineStr">
        <is>
          <t>Computed EDRMSRetentionLabelApplied plus EDRMSDuration</t>
        </is>
      </c>
      <c r="F37" s="9" t="inlineStr">
        <is>
          <t>Retention, not yet built: records due for disposal</t>
        </is>
      </c>
      <c r="G37" s="23" t="inlineStr">
        <is>
          <t>In the database</t>
        </is>
      </c>
      <c r="H37" s="9" t="inlineStr">
        <is>
          <t>4 Records row 81 (S/N 26), defined as RetentionLabelApplied plus Duration. Live Records.EDRMSDueDateForDisposal</t>
        </is>
      </c>
      <c r="I37" s="9" t="inlineStr">
        <is>
          <t>EDRMS database, already computed</t>
        </is>
      </c>
    </row>
    <row r="38" ht="28" customHeight="1">
      <c r="A38" s="9" t="n">
        <v>34</v>
      </c>
      <c r="B38" s="9" t="inlineStr">
        <is>
          <t>Utilization Report Table</t>
        </is>
      </c>
      <c r="C38" s="30" t="inlineStr">
        <is>
          <t>RetentionStatus</t>
        </is>
      </c>
      <c r="D38" s="9" t="inlineStr">
        <is>
          <t>Text</t>
        </is>
      </c>
      <c r="E38" s="9" t="inlineStr">
        <is>
          <t>Retention classification based on the duration</t>
        </is>
      </c>
      <c r="F38" s="9" t="inlineStr">
        <is>
          <t>Retention, not yet built: the status breakdown</t>
        </is>
      </c>
      <c r="G38" s="23" t="inlineStr">
        <is>
          <t>In the database</t>
        </is>
      </c>
      <c r="H38" s="9" t="inlineStr">
        <is>
          <t>4 Records row 77 (S/N 22) EDRMSMeta key RetentionStatus. Permitted values in 5 EDRMSMasters rows 16 to 18. Live Records.EDRMSMeta</t>
        </is>
      </c>
      <c r="I38" s="9" t="inlineStr">
        <is>
          <t>EDRMS database, with the value list from EDRMSMasters</t>
        </is>
      </c>
    </row>
    <row r="39" ht="28" customHeight="1">
      <c r="A39" s="9" t="n">
        <v>35</v>
      </c>
      <c r="B39" s="9" t="inlineStr">
        <is>
          <t>Utilization Report Table</t>
        </is>
      </c>
      <c r="C39" s="30" t="inlineStr">
        <is>
          <t>DisposalStatus</t>
        </is>
      </c>
      <c r="D39" s="9" t="inlineStr">
        <is>
          <t>Choice</t>
        </is>
      </c>
      <c r="E39" s="9" t="inlineStr">
        <is>
          <t>Where the record sits in the disposal process</t>
        </is>
      </c>
      <c r="F39" s="9" t="inlineStr">
        <is>
          <t>Retention, not yet built: where a record sits in the disposal process</t>
        </is>
      </c>
      <c r="G39" s="31" t="inlineStr">
        <is>
          <t>New column</t>
        </is>
      </c>
      <c r="H39" s="9" t="inlineStr">
        <is>
          <t>Not in the workbook or the database</t>
        </is>
      </c>
      <c r="I39" s="9" t="inlineStr">
        <is>
          <t>EDRMS application, when the disposal workflow is built. Blocks nothing today</t>
        </is>
      </c>
    </row>
    <row r="40" ht="28" customHeight="1">
      <c r="A40" s="9" t="n">
        <v>36</v>
      </c>
      <c r="B40" s="9" t="inlineStr">
        <is>
          <t>Utilization Report Table</t>
        </is>
      </c>
      <c r="C40" s="30" t="inlineStr">
        <is>
          <t>SensitivityLabelName</t>
        </is>
      </c>
      <c r="D40" s="9" t="inlineStr">
        <is>
          <t>Text</t>
        </is>
      </c>
      <c r="E40" s="9" t="inlineStr">
        <is>
          <t>Sensitivity label on the file</t>
        </is>
      </c>
      <c r="F40" s="9" t="inlineStr">
        <is>
          <t>None on any dashboard</t>
        </is>
      </c>
      <c r="G40" s="23" t="inlineStr">
        <is>
          <t>In the database</t>
        </is>
      </c>
      <c r="H40" s="9" t="inlineStr">
        <is>
          <t>4 Records row 75 (S/N 20) FileMeta key SensitivityLabelName. Live Records.FileMeta</t>
        </is>
      </c>
      <c r="I40" s="9" t="inlineStr">
        <is>
          <t>EDRMS database, then Microsoft Graph for the rest</t>
        </is>
      </c>
    </row>
    <row r="41" ht="28" customHeight="1">
      <c r="A41" s="9" t="n">
        <v>37</v>
      </c>
      <c r="B41" s="9" t="inlineStr">
        <is>
          <t>Utilization Report Table</t>
        </is>
      </c>
      <c r="C41" s="30" t="inlineStr">
        <is>
          <t>IsDeleted</t>
        </is>
      </c>
      <c r="D41" s="9" t="inlineStr">
        <is>
          <t>Yes / No</t>
        </is>
      </c>
      <c r="E41" s="9" t="inlineStr">
        <is>
          <t>Soft delete flag</t>
        </is>
      </c>
      <c r="F41" s="9" t="inlineStr">
        <is>
          <t>Every count on every dashboard excludes rows where this is true</t>
        </is>
      </c>
      <c r="G41" s="23" t="inlineStr">
        <is>
          <t>In the database</t>
        </is>
      </c>
      <c r="H41" s="9" t="inlineStr">
        <is>
          <t>4 Records row 65 (S/N 10). Live Records.IsDeleted</t>
        </is>
      </c>
      <c r="I41" s="9" t="inlineStr">
        <is>
          <t>EDRMS database. For undeclared documents, absence from the next scan is the delete signal</t>
        </is>
      </c>
    </row>
    <row r="42" ht="28" customHeight="1">
      <c r="A42" s="9" t="n">
        <v>38</v>
      </c>
      <c r="B42" s="9" t="inlineStr">
        <is>
          <t>Utilization Report Table</t>
        </is>
      </c>
      <c r="C42" s="30" t="inlineStr">
        <is>
          <t>RowLoadedDate</t>
        </is>
      </c>
      <c r="D42" s="9" t="inlineStr">
        <is>
          <t>Date and time</t>
        </is>
      </c>
      <c r="E42" s="9" t="inlineStr">
        <is>
          <t>When this row was last written</t>
        </is>
      </c>
      <c r="F42" s="9" t="inlineStr">
        <is>
          <t>None. Operational, so a partial refresh can be spotted</t>
        </is>
      </c>
      <c r="G42" s="31" t="inlineStr">
        <is>
          <t>New column</t>
        </is>
      </c>
      <c r="H42" s="9" t="inlineStr">
        <is>
          <t>Not in the workbook</t>
        </is>
      </c>
      <c r="I42" s="9" t="inlineStr">
        <is>
          <t>Written by the refresh job</t>
        </is>
      </c>
    </row>
    <row r="43" ht="28" customHeight="1">
      <c r="A43" s="9" t="n">
        <v>1</v>
      </c>
      <c r="B43" s="28" t="inlineStr">
        <is>
          <t>Site Activity Table</t>
        </is>
      </c>
      <c r="C43" s="30" t="inlineStr">
        <is>
          <t>Id</t>
        </is>
      </c>
      <c r="D43" s="9" t="inlineStr">
        <is>
          <t>Whole number</t>
        </is>
      </c>
      <c r="E43" s="9" t="inlineStr">
        <is>
          <t>Unique row identifier</t>
        </is>
      </c>
      <c r="F43" s="9" t="inlineStr">
        <is>
          <t>None. Identifies the row</t>
        </is>
      </c>
      <c r="G43" s="23" t="inlineStr">
        <is>
          <t>In the database</t>
        </is>
      </c>
      <c r="H43" s="9" t="inlineStr">
        <is>
          <t>Site row 5 (S/N 1)</t>
        </is>
      </c>
      <c r="I43" s="9" t="inlineStr">
        <is>
          <t>Generated by the refresh job</t>
        </is>
      </c>
    </row>
    <row r="44" ht="28" customHeight="1">
      <c r="A44" s="9" t="n">
        <v>2</v>
      </c>
      <c r="B44" s="9" t="inlineStr">
        <is>
          <t>Site Activity Table</t>
        </is>
      </c>
      <c r="C44" s="30" t="inlineStr">
        <is>
          <t>SnapshotDate</t>
        </is>
      </c>
      <c r="D44" s="9" t="inlineStr">
        <is>
          <t>Date</t>
        </is>
      </c>
      <c r="E44" s="9" t="inlineStr">
        <is>
          <t>The date this data was captured</t>
        </is>
      </c>
      <c r="F44" s="9" t="inlineStr">
        <is>
          <t>The "Data as of" line</t>
        </is>
      </c>
      <c r="G44" s="31" t="inlineStr">
        <is>
          <t>New column</t>
        </is>
      </c>
      <c r="H44" s="9" t="inlineStr">
        <is>
          <t>Not in the workbook</t>
        </is>
      </c>
      <c r="I44" s="9" t="inlineStr">
        <is>
          <t>Written by the refresh job</t>
        </is>
      </c>
    </row>
    <row r="45" ht="28" customHeight="1">
      <c r="A45" s="9" t="n">
        <v>3</v>
      </c>
      <c r="B45" s="9" t="inlineStr">
        <is>
          <t>Site Activity Table</t>
        </is>
      </c>
      <c r="C45" s="30" t="inlineStr">
        <is>
          <t>SiteUrl</t>
        </is>
      </c>
      <c r="D45" s="9" t="inlineStr">
        <is>
          <t>Text</t>
        </is>
      </c>
      <c r="E45" s="9" t="inlineStr">
        <is>
          <t>URL of the site</t>
        </is>
      </c>
      <c r="F45" s="9" t="inlineStr">
        <is>
          <t>None. Joins to the Utilization Report Table</t>
        </is>
      </c>
      <c r="G45" s="23" t="inlineStr">
        <is>
          <t>In the database</t>
        </is>
      </c>
      <c r="H45" s="9" t="inlineStr">
        <is>
          <t>Site row 13 (S/N 9). Live ADBSites.SiteUrl</t>
        </is>
      </c>
      <c r="I45" s="9" t="inlineStr">
        <is>
          <t>ADBSites, or the SharePoint admin centre export</t>
        </is>
      </c>
    </row>
    <row r="46" ht="28" customHeight="1">
      <c r="A46" s="9" t="n">
        <v>4</v>
      </c>
      <c r="B46" s="9" t="inlineStr">
        <is>
          <t>Site Activity Table</t>
        </is>
      </c>
      <c r="C46" s="30" t="inlineStr">
        <is>
          <t>SiteName</t>
        </is>
      </c>
      <c r="D46" s="9" t="inlineStr">
        <is>
          <t>Text</t>
        </is>
      </c>
      <c r="E46" s="9" t="inlineStr">
        <is>
          <t>Name of the site</t>
        </is>
      </c>
      <c r="F46" s="9" t="inlineStr">
        <is>
          <t>Records Management: the row label on Active Departmental Sites and Active Users</t>
        </is>
      </c>
      <c r="G46" s="23" t="inlineStr">
        <is>
          <t>In the database</t>
        </is>
      </c>
      <c r="H46" s="9" t="inlineStr">
        <is>
          <t>Site row 14 (S/N 10). Live ADBSites.SiteName</t>
        </is>
      </c>
      <c r="I46" s="9" t="inlineStr">
        <is>
          <t>ADBSites, or the SharePoint admin centre export</t>
        </is>
      </c>
    </row>
    <row r="47" ht="28" customHeight="1">
      <c r="A47" s="9" t="n">
        <v>5</v>
      </c>
      <c r="B47" s="9" t="inlineStr">
        <is>
          <t>Site Activity Table</t>
        </is>
      </c>
      <c r="C47" s="30" t="inlineStr">
        <is>
          <t>SiteCreatedDate</t>
        </is>
      </c>
      <c r="D47" s="9" t="inlineStr">
        <is>
          <t>Date</t>
        </is>
      </c>
      <c r="E47" s="9" t="inlineStr">
        <is>
          <t>When the SharePoint site was created</t>
        </is>
      </c>
      <c r="F47" s="9" t="inlineStr">
        <is>
          <t>Sites and Libraries: the treemap of sites created by department, and the date range filter above it</t>
        </is>
      </c>
      <c r="G47" s="25" t="inlineStr">
        <is>
          <t>Missing, blocks a figure</t>
        </is>
      </c>
      <c r="H47" s="9" t="inlineStr">
        <is>
          <t>Site row 6 CreatedDate is the row's creation, not the site's. Not in ADBSites</t>
        </is>
      </c>
      <c r="I47" s="9" t="inlineStr">
        <is>
          <t>SharePoint admin centre, Active sites, the "Created" column, exportable to CSV. Or Microsoft Graph /sites createdDateTime. Or AvePoint Cloud Governance provisioning date</t>
        </is>
      </c>
    </row>
    <row r="48" ht="28" customHeight="1">
      <c r="A48" s="9" t="n">
        <v>6</v>
      </c>
      <c r="B48" s="9" t="inlineStr">
        <is>
          <t>Site Activity Table</t>
        </is>
      </c>
      <c r="C48" s="30" t="inlineStr">
        <is>
          <t>IsEdrmsCompliant</t>
        </is>
      </c>
      <c r="D48" s="9" t="inlineStr">
        <is>
          <t>Yes / No</t>
        </is>
      </c>
      <c r="E48" s="9" t="inlineStr">
        <is>
          <t>Whether this is an EDRMS compliant site</t>
        </is>
      </c>
      <c r="F48" s="9" t="inlineStr">
        <is>
          <t>Sites and Libraries: Total EDRMS Compliant Sites Created, 1,057, and everything drawn from it</t>
        </is>
      </c>
      <c r="G48" s="25" t="inlineStr">
        <is>
          <t>Missing, blocks a figure</t>
        </is>
      </c>
      <c r="H48" s="9" t="inlineStr">
        <is>
          <t>Nowhere</t>
        </is>
      </c>
      <c r="I48" s="9" t="inlineStr">
        <is>
          <t>A RAC definition. See row 19 of Table 1</t>
        </is>
      </c>
    </row>
    <row r="49" ht="28" customHeight="1">
      <c r="A49" s="9" t="n">
        <v>7</v>
      </c>
      <c r="B49" s="9" t="inlineStr">
        <is>
          <t>Site Activity Table</t>
        </is>
      </c>
      <c r="C49" s="30" t="inlineStr">
        <is>
          <t>ADBDepartmentOwner</t>
        </is>
      </c>
      <c r="D49" s="9" t="inlineStr">
        <is>
          <t>Text</t>
        </is>
      </c>
      <c r="E49" s="9" t="inlineStr">
        <is>
          <t>Owning department</t>
        </is>
      </c>
      <c r="F49" s="9" t="inlineStr">
        <is>
          <t>Sites and Libraries: the treemap grouping and the department filter. Overview: top 5 departments by compliant sites</t>
        </is>
      </c>
      <c r="G49" s="25" t="inlineStr">
        <is>
          <t>Missing, blocks a figure</t>
        </is>
      </c>
      <c r="H49" s="9" t="inlineStr">
        <is>
          <t>Nowhere. ADBSites has no department column</t>
        </is>
      </c>
      <c r="I49" s="9" t="inlineStr">
        <is>
          <t>AvePoint Cloud Governance provisioning record first. Fallback: RAC maintains the site to department list once. This is the single highest value item in the whole report, because attaching it here fixes it for all 3.47 million documents at once</t>
        </is>
      </c>
    </row>
    <row r="50" ht="28" customHeight="1">
      <c r="A50" s="9" t="n">
        <v>8</v>
      </c>
      <c r="B50" s="9" t="inlineStr">
        <is>
          <t>Site Activity Table</t>
        </is>
      </c>
      <c r="C50" s="30" t="inlineStr">
        <is>
          <t>ADBDivisionOwner</t>
        </is>
      </c>
      <c r="D50" s="9" t="inlineStr">
        <is>
          <t>Text</t>
        </is>
      </c>
      <c r="E50" s="9" t="inlineStr">
        <is>
          <t>Owning division</t>
        </is>
      </c>
      <c r="F50" s="9" t="inlineStr">
        <is>
          <t>None today on this table</t>
        </is>
      </c>
      <c r="G50" s="25" t="inlineStr">
        <is>
          <t>Missing, blocks a figure</t>
        </is>
      </c>
      <c r="H50" s="9" t="inlineStr">
        <is>
          <t>Nowhere</t>
        </is>
      </c>
      <c r="I50" s="9" t="inlineStr">
        <is>
          <t>Same as ADBDepartmentOwner</t>
        </is>
      </c>
    </row>
    <row r="51" ht="28" customHeight="1">
      <c r="A51" s="9" t="n">
        <v>9</v>
      </c>
      <c r="B51" s="9" t="inlineStr">
        <is>
          <t>Site Activity Table</t>
        </is>
      </c>
      <c r="C51" s="30" t="inlineStr">
        <is>
          <t>SiteVisits7</t>
        </is>
      </c>
      <c r="D51" s="9" t="inlineStr">
        <is>
          <t>Whole number</t>
        </is>
      </c>
      <c r="E51" s="9" t="inlineStr">
        <is>
          <t>Site visits, last 7 days</t>
        </is>
      </c>
      <c r="F51" s="9" t="inlineStr">
        <is>
          <t>Records Management: Active Departmental Sites, the 7 day window</t>
        </is>
      </c>
      <c r="G51" s="31" t="inlineStr">
        <is>
          <t>New column</t>
        </is>
      </c>
      <c r="H51" s="9" t="inlineStr">
        <is>
          <t>Nowhere</t>
        </is>
      </c>
      <c r="I51" s="9" t="inlineStr">
        <is>
          <t>Microsoft 365 admin centre, Reports, Usage, SharePoint site usage. Or the Microsoft Graph reports API, getSharePointSiteUsageDetail(period='D7')</t>
        </is>
      </c>
    </row>
    <row r="52" ht="28" customHeight="1">
      <c r="A52" s="9" t="n">
        <v>10</v>
      </c>
      <c r="B52" s="9" t="inlineStr">
        <is>
          <t>Site Activity Table</t>
        </is>
      </c>
      <c r="C52" s="30" t="inlineStr">
        <is>
          <t>SiteVisits30</t>
        </is>
      </c>
      <c r="D52" s="9" t="inlineStr">
        <is>
          <t>Whole number</t>
        </is>
      </c>
      <c r="E52" s="9" t="inlineStr">
        <is>
          <t>Site visits, last 30 days</t>
        </is>
      </c>
      <c r="F52" s="9" t="inlineStr">
        <is>
          <t>Records Management: Active Departmental Sites, the 30 day window, and the Active Sites KPI</t>
        </is>
      </c>
      <c r="G52" s="31" t="inlineStr">
        <is>
          <t>New column</t>
        </is>
      </c>
      <c r="H52" s="9" t="inlineStr">
        <is>
          <t>Nowhere</t>
        </is>
      </c>
      <c r="I52" s="9" t="inlineStr">
        <is>
          <t>Same report at period='D30'</t>
        </is>
      </c>
    </row>
    <row r="53" ht="28" customHeight="1">
      <c r="A53" s="9" t="n">
        <v>11</v>
      </c>
      <c r="B53" s="9" t="inlineStr">
        <is>
          <t>Site Activity Table</t>
        </is>
      </c>
      <c r="C53" s="30" t="inlineStr">
        <is>
          <t>SiteVisits90</t>
        </is>
      </c>
      <c r="D53" s="9" t="inlineStr">
        <is>
          <t>Whole number</t>
        </is>
      </c>
      <c r="E53" s="9" t="inlineStr">
        <is>
          <t>Site visits, last 90 days</t>
        </is>
      </c>
      <c r="F53" s="9" t="inlineStr">
        <is>
          <t>Records Management: Active Departmental Sites, the 90 day window, and the Active Users fallback at 90 days</t>
        </is>
      </c>
      <c r="G53" s="31" t="inlineStr">
        <is>
          <t>New column</t>
        </is>
      </c>
      <c r="H53" s="9" t="inlineStr">
        <is>
          <t>Nowhere</t>
        </is>
      </c>
      <c r="I53" s="9" t="inlineStr">
        <is>
          <t>Same report at period='D90'</t>
        </is>
      </c>
    </row>
    <row r="54" ht="28" customHeight="1">
      <c r="A54" s="9" t="n">
        <v>12</v>
      </c>
      <c r="B54" s="9" t="inlineStr">
        <is>
          <t>Site Activity Table</t>
        </is>
      </c>
      <c r="C54" s="30" t="inlineStr">
        <is>
          <t>UniqueViewers7</t>
        </is>
      </c>
      <c r="D54" s="9" t="inlineStr">
        <is>
          <t>Whole number</t>
        </is>
      </c>
      <c r="E54" s="9" t="inlineStr">
        <is>
          <t>Unique viewers, last 7 days</t>
        </is>
      </c>
      <c r="F54" s="9" t="inlineStr">
        <is>
          <t>Records Management: Active Users, the 7 day window</t>
        </is>
      </c>
      <c r="G54" s="31" t="inlineStr">
        <is>
          <t>New column</t>
        </is>
      </c>
      <c r="H54" s="9" t="inlineStr">
        <is>
          <t>Nowhere</t>
        </is>
      </c>
      <c r="I54" s="9" t="inlineStr">
        <is>
          <t>Same report, the "Visited Page Count" and unique viewer fields</t>
        </is>
      </c>
    </row>
    <row r="55" ht="28" customHeight="1">
      <c r="A55" s="9" t="n">
        <v>13</v>
      </c>
      <c r="B55" s="9" t="inlineStr">
        <is>
          <t>Site Activity Table</t>
        </is>
      </c>
      <c r="C55" s="30" t="inlineStr">
        <is>
          <t>UniqueViewers30</t>
        </is>
      </c>
      <c r="D55" s="9" t="inlineStr">
        <is>
          <t>Whole number</t>
        </is>
      </c>
      <c r="E55" s="9" t="inlineStr">
        <is>
          <t>Unique viewers, last 30 days</t>
        </is>
      </c>
      <c r="F55" s="9" t="inlineStr">
        <is>
          <t>Records Management: Active Users, the 30 day window, and the Active Users KPI</t>
        </is>
      </c>
      <c r="G55" s="31" t="inlineStr">
        <is>
          <t>New column</t>
        </is>
      </c>
      <c r="H55" s="9" t="inlineStr">
        <is>
          <t>Nowhere</t>
        </is>
      </c>
      <c r="I55" s="9" t="inlineStr">
        <is>
          <t>Same report at period='D30'</t>
        </is>
      </c>
    </row>
    <row r="56" ht="28" customHeight="1">
      <c r="A56" s="9" t="n">
        <v>14</v>
      </c>
      <c r="B56" s="9" t="inlineStr">
        <is>
          <t>Site Activity Table</t>
        </is>
      </c>
      <c r="C56" s="30" t="inlineStr">
        <is>
          <t>UniqueViewers90</t>
        </is>
      </c>
      <c r="D56" s="9" t="inlineStr">
        <is>
          <t>Whole number</t>
        </is>
      </c>
      <c r="E56" s="9" t="inlineStr">
        <is>
          <t>Unique viewers, last 90 days</t>
        </is>
      </c>
      <c r="F56" s="9" t="inlineStr">
        <is>
          <t>Records Management: nothing. Microsoft does not return this at 90 days, which is why the dashboard falls back to site visits and shows an amber note</t>
        </is>
      </c>
      <c r="G56" s="31" t="inlineStr">
        <is>
          <t>New column</t>
        </is>
      </c>
      <c r="H56" s="9" t="inlineStr">
        <is>
          <t>Nowhere</t>
        </is>
      </c>
      <c r="I56" s="9" t="inlineStr">
        <is>
          <t>Not available from Microsoft. Keep the column so the gap stays visible rather than silently becoming a zero</t>
        </is>
      </c>
    </row>
    <row r="57" ht="28" customHeight="1">
      <c r="A57" s="9" t="n">
        <v>15</v>
      </c>
      <c r="B57" s="9" t="inlineStr">
        <is>
          <t>Site Activity Table</t>
        </is>
      </c>
      <c r="C57" s="30" t="inlineStr">
        <is>
          <t>LastActivityDate</t>
        </is>
      </c>
      <c r="D57" s="9" t="inlineStr">
        <is>
          <t>Date</t>
        </is>
      </c>
      <c r="E57" s="9" t="inlineStr">
        <is>
          <t>Most recent activity on the site</t>
        </is>
      </c>
      <c r="F57" s="9" t="inlineStr">
        <is>
          <t>Records Management: the "last activity" text beside each bar on Active Departmental Sites</t>
        </is>
      </c>
      <c r="G57" s="31" t="inlineStr">
        <is>
          <t>New column</t>
        </is>
      </c>
      <c r="H57" s="9" t="inlineStr">
        <is>
          <t>Nowhere</t>
        </is>
      </c>
      <c r="I57" s="9" t="inlineStr">
        <is>
          <t>Same Microsoft 365 usage report, "Last Activity Date" column</t>
        </is>
      </c>
    </row>
    <row r="58" ht="28" customHeight="1">
      <c r="A58" s="9" t="n">
        <v>16</v>
      </c>
      <c r="B58" s="9" t="inlineStr">
        <is>
          <t>Site Activity Table</t>
        </is>
      </c>
      <c r="C58" s="30" t="inlineStr">
        <is>
          <t>StorageUsed</t>
        </is>
      </c>
      <c r="D58" s="9" t="inlineStr">
        <is>
          <t>Whole number</t>
        </is>
      </c>
      <c r="E58" s="9" t="inlineStr">
        <is>
          <t>Storage used by the site, in bytes</t>
        </is>
      </c>
      <c r="F58" s="9" t="inlineStr">
        <is>
          <t>None today. Sites and Libraries measures storage from FileSize instead</t>
        </is>
      </c>
      <c r="G58" s="31" t="inlineStr">
        <is>
          <t>New column</t>
        </is>
      </c>
      <c r="H58" s="9" t="inlineStr">
        <is>
          <t>Nowhere</t>
        </is>
      </c>
      <c r="I58" s="9" t="inlineStr">
        <is>
          <t>SharePoint admin centre, Active sites, the "Storage used" column. Note it includes version history, so it will not match the sum of FileSize</t>
        </is>
      </c>
    </row>
    <row r="59" ht="28" customHeight="1">
      <c r="A59" s="9" t="n">
        <v>17</v>
      </c>
      <c r="B59" s="9" t="inlineStr">
        <is>
          <t>Site Activity Table</t>
        </is>
      </c>
      <c r="C59" s="30" t="inlineStr">
        <is>
          <t>SiteOwner</t>
        </is>
      </c>
      <c r="D59" s="9" t="inlineStr">
        <is>
          <t>Text</t>
        </is>
      </c>
      <c r="E59" s="9" t="inlineStr">
        <is>
          <t>Primary site administrator</t>
        </is>
      </c>
      <c r="F59" s="9" t="inlineStr">
        <is>
          <t>None. Who to contact about a site that has gone quiet</t>
        </is>
      </c>
      <c r="G59" s="31" t="inlineStr">
        <is>
          <t>New column</t>
        </is>
      </c>
      <c r="H59" s="9" t="inlineStr">
        <is>
          <t>Nowhere</t>
        </is>
      </c>
      <c r="I59" s="9" t="inlineStr">
        <is>
          <t>SharePoint admin centre, Active sites, the "Primary admin" column</t>
        </is>
      </c>
    </row>
    <row r="60" ht="28" customHeight="1">
      <c r="A60" s="9" t="n">
        <v>18</v>
      </c>
      <c r="B60" s="9" t="inlineStr">
        <is>
          <t>Site Activity Table</t>
        </is>
      </c>
      <c r="C60" s="30" t="inlineStr">
        <is>
          <t>ProjectEndDate</t>
        </is>
      </c>
      <c r="D60" s="9" t="inlineStr">
        <is>
          <t>Date</t>
        </is>
      </c>
      <c r="E60" s="9" t="inlineStr">
        <is>
          <t>Project end date for the site</t>
        </is>
      </c>
      <c r="F60" s="9" t="inlineStr">
        <is>
          <t>None today. The obvious basis for a site closure view</t>
        </is>
      </c>
      <c r="G60" s="23" t="inlineStr">
        <is>
          <t>In the database</t>
        </is>
      </c>
      <c r="H60" s="9" t="inlineStr">
        <is>
          <t>Site row 15 (S/N 11). Live ADBSites.ProjectEndDate</t>
        </is>
      </c>
      <c r="I60" s="9" t="inlineStr">
        <is>
          <t>ADBSites, already populated</t>
        </is>
      </c>
    </row>
    <row r="61" ht="28" customHeight="1">
      <c r="A61" s="9" t="n">
        <v>19</v>
      </c>
      <c r="B61" s="9" t="inlineStr">
        <is>
          <t>Site Activity Table</t>
        </is>
      </c>
      <c r="C61" s="30" t="inlineStr">
        <is>
          <t>IsDeleted</t>
        </is>
      </c>
      <c r="D61" s="9" t="inlineStr">
        <is>
          <t>Yes / No</t>
        </is>
      </c>
      <c r="E61" s="9" t="inlineStr">
        <is>
          <t>Soft delete flag</t>
        </is>
      </c>
      <c r="F61" s="9" t="inlineStr">
        <is>
          <t>Excludes closed sites from current figures without changing historical ones</t>
        </is>
      </c>
      <c r="G61" s="23" t="inlineStr">
        <is>
          <t>In the database</t>
        </is>
      </c>
      <c r="H61" s="9" t="inlineStr">
        <is>
          <t>Site row 12 (S/N 8). Live ADBSites.IsDeleted</t>
        </is>
      </c>
      <c r="I61" s="9" t="inlineStr">
        <is>
          <t>ADBSites, already populated. A site missing from the next admin centre export is the delete signal</t>
        </is>
      </c>
    </row>
    <row r="62" ht="28" customHeight="1">
      <c r="A62" s="9" t="n">
        <v>20</v>
      </c>
      <c r="B62" s="9" t="inlineStr">
        <is>
          <t>Site Activity Table</t>
        </is>
      </c>
      <c r="C62" s="30" t="inlineStr">
        <is>
          <t>RowLoadedDate</t>
        </is>
      </c>
      <c r="D62" s="9" t="inlineStr">
        <is>
          <t>Date and time</t>
        </is>
      </c>
      <c r="E62" s="9" t="inlineStr">
        <is>
          <t>When this row was last written</t>
        </is>
      </c>
      <c r="F62" s="9" t="inlineStr">
        <is>
          <t>None. Operational</t>
        </is>
      </c>
      <c r="G62" s="31" t="inlineStr">
        <is>
          <t>New column</t>
        </is>
      </c>
      <c r="H62" s="9" t="inlineStr">
        <is>
          <t>Not in the workbook</t>
        </is>
      </c>
      <c r="I62" s="9" t="inlineStr">
        <is>
          <t>Written by the refresh job</t>
        </is>
      </c>
    </row>
  </sheetData>
  <autoFilter ref="A4:I6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
  <sheetViews>
    <sheetView showGridLines="0" workbookViewId="0">
      <selection activeCell="A1" sqref="A1"/>
    </sheetView>
  </sheetViews>
  <sheetFormatPr baseColWidth="8" defaultRowHeight="15"/>
  <cols>
    <col width="4" customWidth="1" min="1" max="1"/>
    <col width="34" customWidth="1" min="2" max="2"/>
    <col width="46" customWidth="1" min="3" max="3"/>
    <col width="16" customWidth="1" min="4" max="4"/>
    <col width="74" customWidth="1" min="5" max="5"/>
    <col width="16" customWidth="1" min="6" max="6"/>
    <col width="30" customWidth="1" min="7" max="7"/>
  </cols>
  <sheetData>
    <row r="1">
      <c r="A1" s="19" t="inlineStr">
        <is>
          <t>THE THREE GAPS, AND THE TWO FEEDS</t>
        </is>
      </c>
    </row>
    <row r="2">
      <c r="A2" s="20" t="inlineStr">
        <is>
          <t>Nothing else in this workbook is blocked by anything but these five items.</t>
        </is>
      </c>
    </row>
    <row r="4" ht="28" customHeight="1">
      <c r="A4" s="21" t="inlineStr">
        <is>
          <t>#</t>
        </is>
      </c>
      <c r="B4" s="21" t="inlineStr">
        <is>
          <t>What is missing</t>
        </is>
      </c>
      <c r="C4" s="21" t="inlineStr">
        <is>
          <t>What it blocks</t>
        </is>
      </c>
      <c r="D4" s="21" t="inlineStr">
        <is>
          <t>How many elements</t>
        </is>
      </c>
      <c r="E4" s="21" t="inlineStr">
        <is>
          <t>Where to get it</t>
        </is>
      </c>
      <c r="F4" s="21" t="inlineStr">
        <is>
          <t>Owner</t>
        </is>
      </c>
      <c r="G4" s="21" t="inlineStr">
        <is>
          <t>Size of the job</t>
        </is>
      </c>
    </row>
    <row r="5" ht="74" customHeight="1">
      <c r="A5" s="32" t="inlineStr">
        <is>
          <t>Gap 1</t>
        </is>
      </c>
      <c r="B5" s="22" t="inlineStr">
        <is>
          <t>Department and division on anything</t>
        </is>
      </c>
      <c r="C5" s="9" t="inlineStr">
        <is>
          <t>Every department bar, the treemap grouping, all six department filters, both Overview top 5 lists, and drill levels 1 and 2.</t>
        </is>
      </c>
      <c r="D5" s="33">
        <f>COUNTIF('KPIs and Diagrams'!$K:$K,"Gap 1*")</f>
        <v/>
      </c>
      <c r="E5" s="9" t="inlineStr">
        <is>
          <t>The vocabularies ARE populated in the SharePoint term store. What is missing is the link from a site to its department. Attach it to the SITE, about 1,057 values, and let every document inherit it. Check AvePoint Cloud Governance first: it records the requesting department at provisioning, which would make this an export rather than data entry.</t>
        </is>
      </c>
      <c r="F5" s="9" t="inlineStr">
        <is>
          <t>IT, then RAC</t>
        </is>
      </c>
      <c r="G5" s="9" t="inlineStr">
        <is>
          <t>Large, but 1,057 rows not 3.47 million</t>
        </is>
      </c>
    </row>
    <row r="6" ht="74" customHeight="1">
      <c r="A6" s="32" t="inlineStr">
        <is>
          <t>Gap 2</t>
        </is>
      </c>
      <c r="B6" s="22" t="inlineStr">
        <is>
          <t>File size is not captured</t>
        </is>
      </c>
      <c r="C6" s="9" t="inlineStr">
        <is>
          <t>The 46.7 GB headline, storage by format, average file size, Largest Libraries, and the Overview storage donut.</t>
        </is>
      </c>
      <c r="D6" s="33">
        <f>COUNTIF('KPIs and Diagrams'!$K:$K,"Gap 2*")</f>
        <v/>
      </c>
      <c r="E6" s="9" t="inlineStr">
        <is>
          <t>CLOSED AS A GAP. Verified in the test tenant on 8 Aug 2026: Microsoft Graph returns size on every file unprompted, observed from 1,506 bytes up to 2,338,767. The scan supplies every storage figure at no extra cost. The FileMeta.FileSize key is now OPTIONAL, wanted only for per record detail at declaration time. WARNING: folders are returned as items with a CUMULATIVE size, so the scan must filter to files only or storage doubles.</t>
        </is>
      </c>
      <c r="F6" s="9" t="inlineStr">
        <is>
          <t>Development team</t>
        </is>
      </c>
      <c r="G6" s="9" t="inlineStr">
        <is>
          <t>Closed, folded into the scan</t>
        </is>
      </c>
    </row>
    <row r="7" ht="74" customHeight="1">
      <c r="A7" s="32" t="inlineStr">
        <is>
          <t>Gap 3</t>
        </is>
      </c>
      <c r="B7" s="22" t="inlineStr">
        <is>
          <t>No site created date, and no rule for EDRMS compliant</t>
        </is>
      </c>
      <c r="C7" s="9" t="inlineStr">
        <is>
          <t>The 1,057 compliant sites, the treemap, its date range, and the definition of which documents count toward the 3.47M.</t>
        </is>
      </c>
      <c r="D7" s="33">
        <f>COUNTIF('KPIs and Diagrams'!$K:$K,"Gap 3*")</f>
        <v/>
      </c>
      <c r="E7" s="9" t="inlineStr">
        <is>
          <t>THE RULE MAY ALREADY EXIST. The test tenant holds "No mapping library1", a real library full of real documents where declaration FAILS with "No Library and Retention Label Mapping found". The Retention Label Mapping list is therefore already the enforced registry of what EDRMS manages. PROPOSED RULE: a library is in scope if it appears in that list; a site is compliant if it holds at least one mapped library. No new list, no new process, and RAC already maintains it. The created date is still a separate read from the SharePoint admin centre, Active sites, Created column.</t>
        </is>
      </c>
      <c r="F7" s="9" t="inlineStr">
        <is>
          <t>RAC confirms the rule, IT exports the date</t>
        </is>
      </c>
      <c r="G7" s="9" t="inlineStr">
        <is>
          <t>Much smaller than it looked</t>
        </is>
      </c>
    </row>
    <row r="8" ht="74" customHeight="1">
      <c r="A8" s="34" t="inlineStr">
        <is>
          <t>Feed 1</t>
        </is>
      </c>
      <c r="B8" s="22" t="inlineStr">
        <is>
          <t>The weekly document scan</t>
        </is>
      </c>
      <c r="C8" s="9" t="inlineStr">
        <is>
          <t>Total Documents 3.47M, the declaration rate, every per library figure, and both date filters on the documents panel.</t>
        </is>
      </c>
      <c r="D8" s="33">
        <f>COUNTIF('KPIs and Diagrams'!$H:$H,"Needs the document scan")</f>
        <v/>
      </c>
      <c r="E8" s="9" t="inlineStr">
        <is>
          <t>A scheduled Microsoft Graph job walking every document library in every compliant site, matched to Records on ListId + ItemId. Roughly 3,500 API calls, comfortable overnight, impossible on demand. NOTE: if you only need the total count and not the list, SharePoint REST ItemCount per library gives it without enumerating a single item, which is far cheaper and unblocks both headline numbers on its own.</t>
        </is>
      </c>
      <c r="F8" s="9" t="inlineStr">
        <is>
          <t>Development team</t>
        </is>
      </c>
      <c r="G8" s="9" t="inlineStr">
        <is>
          <t>The largest single piece of work</t>
        </is>
      </c>
    </row>
    <row r="9" ht="74" customHeight="1">
      <c r="A9" s="34" t="inlineStr">
        <is>
          <t>Feed 2</t>
        </is>
      </c>
      <c r="B9" s="22" t="inlineStr">
        <is>
          <t>The Microsoft 365 usage feed</t>
        </is>
      </c>
      <c r="C9" s="9" t="inlineStr">
        <is>
          <t>Active Departmental Sites, Active Users, the 7 / 30 / 90 windows, and last activity.</t>
        </is>
      </c>
      <c r="D9" s="33">
        <f>COUNTIF('KPIs and Diagrams'!$H:$H,"Needs the usage feed")</f>
        <v/>
      </c>
      <c r="E9" s="9" t="inlineStr">
        <is>
          <t>Microsoft 365 admin centre, Reports, Usage, SharePoint site usage, exportable to CSV. Or the Graph reports API getSharePointSiteUsageDetail. Independent of everything else here, so it can be done in parallel. Microsoft does not return unique viewers at 90 days, which is why the dashboard falls back to site visits and says so.</t>
        </is>
      </c>
      <c r="F9" s="9" t="inlineStr">
        <is>
          <t>IT</t>
        </is>
      </c>
      <c r="G9" s="9" t="inlineStr">
        <is>
          <t>Small and independent</t>
        </is>
      </c>
    </row>
    <row r="11">
      <c r="B11" s="26" t="inlineStr">
        <is>
          <t>SUGGESTED ORDER OF WORK</t>
        </is>
      </c>
    </row>
    <row r="12" ht="24" customHeight="1">
      <c r="B12" s="26" t="inlineStr">
        <is>
          <t>1. Export the SharePoint site usage report to CSV</t>
        </is>
      </c>
      <c r="C12" s="35" t="inlineStr">
        <is>
          <t>Ten minutes, no development, and it unblocks two KPI cards. Do it this week.</t>
        </is>
      </c>
    </row>
    <row r="13" ht="24" customHeight="1">
      <c r="B13" s="26" t="inlineStr">
        <is>
          <t>2. Ask IT whether AvePoint Cloud Governance holds the department per site</t>
        </is>
      </c>
      <c r="C13" s="35" t="inlineStr">
        <is>
          <t>One question. If the answer is yes, Gap 1 stops being the largest item in the report.</t>
        </is>
      </c>
    </row>
    <row r="14" ht="24" customHeight="1">
      <c r="B14" s="26" t="inlineStr">
        <is>
          <t>3. Get RAC to define EDRMS compliant, in writing</t>
        </is>
      </c>
      <c r="C14" s="35" t="inlineStr">
        <is>
          <t>It appears in two dashboard titles. Nothing that says "compliant" can be signed off until it exists.</t>
        </is>
      </c>
    </row>
    <row r="15" ht="24" customHeight="1">
      <c r="B15" s="26" t="inlineStr">
        <is>
          <t>4. Run SharePoint REST ItemCount per library for a total document count</t>
        </is>
      </c>
      <c r="C15" s="35" t="inlineStr">
        <is>
          <t>Gives the 3.47M and the declaration rate without building the full scan. Days, not weeks.</t>
        </is>
      </c>
    </row>
    <row r="16" ht="24" customHeight="1">
      <c r="B16" s="26" t="inlineStr">
        <is>
          <t>5. Build the weekly Graph scan</t>
        </is>
      </c>
      <c r="C16" s="35" t="inlineStr">
        <is>
          <t>Everything else. Do it after the definitions above are settled, or it gets built twice.</t>
        </is>
      </c>
    </row>
  </sheetData>
  <mergeCells count="5">
    <mergeCell ref="C16:E16"/>
    <mergeCell ref="C14:E14"/>
    <mergeCell ref="C13:E13"/>
    <mergeCell ref="C15:E15"/>
    <mergeCell ref="C12:E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4" customWidth="1" min="1" max="1"/>
    <col width="44" customWidth="1" min="2" max="2"/>
    <col width="62" customWidth="1" min="3" max="3"/>
    <col width="62" customWidth="1" min="4" max="4"/>
    <col width="30" customWidth="1" min="5" max="5"/>
    <col width="14" customWidth="1" min="6" max="6"/>
  </cols>
  <sheetData>
    <row r="1">
      <c r="A1" s="19" t="inlineStr">
        <is>
          <t>DECISIONS ONLY RAC CAN MAKE</t>
        </is>
      </c>
    </row>
    <row r="2">
      <c r="A2" s="20" t="inlineStr">
        <is>
          <t>Each one changes a number on the dashboard. Yellow cells are for you to fill in.</t>
        </is>
      </c>
    </row>
    <row r="4" ht="28" customHeight="1">
      <c r="A4" s="21" t="inlineStr">
        <is>
          <t>#</t>
        </is>
      </c>
      <c r="B4" s="21" t="inlineStr">
        <is>
          <t>Question</t>
        </is>
      </c>
      <c r="C4" s="21" t="inlineStr">
        <is>
          <t>Why it matters</t>
        </is>
      </c>
      <c r="D4" s="21" t="inlineStr">
        <is>
          <t>Recommendation</t>
        </is>
      </c>
      <c r="E4" s="21" t="inlineStr">
        <is>
          <t>RAC decision</t>
        </is>
      </c>
      <c r="F4" s="21" t="inlineStr">
        <is>
          <t>Date agreed</t>
        </is>
      </c>
    </row>
    <row r="5" ht="52" customHeight="1">
      <c r="A5" s="36" t="n">
        <v>1</v>
      </c>
      <c r="B5" s="37" t="inlineStr">
        <is>
          <t>What makes a SharePoint site EDRMS compliant?</t>
        </is>
      </c>
      <c r="C5" s="38" t="inlineStr">
        <is>
          <t>Three figures cannot be produced without it and the phrase appears in two dashboard titles.</t>
        </is>
      </c>
      <c r="D5" s="38" t="inlineStr">
        <is>
          <t>UPDATED after the test tenant. Use the Retention Label Mapping list you already maintain: a library is in scope if it appears there, a site is compliant if it holds at least one mapped library. The application ALREADY enforces this, since declaration into an unmapped library fails. No new list and no new process, just a name for a rule that exists.</t>
        </is>
      </c>
      <c r="E5" s="39" t="n"/>
      <c r="F5" s="39" t="n"/>
    </row>
    <row r="6" ht="52" customHeight="1">
      <c r="A6" s="36" t="n">
        <v>2</v>
      </c>
      <c r="B6" s="37" t="inlineStr">
        <is>
          <t>Do documents in UNMAPPED libraries count in Total Documents?</t>
        </is>
      </c>
      <c r="C6" s="38" t="inlineStr">
        <is>
          <t>NEW, found in the test tenant. "No mapping library1" holds real documents that can never be declared, because the application rejects the attempt. They are undeclarable, not undeclared.</t>
        </is>
      </c>
      <c r="D6" s="38" t="inlineStr">
        <is>
          <t>No. Exclude them, and report them separately as a backlog figure. Counting them holds the declaration rate down permanently and means it can never reach 100 percent, which will be read as failure rather than as scope.</t>
        </is>
      </c>
      <c r="E6" s="39" t="n"/>
      <c r="F6" s="39" t="n"/>
    </row>
    <row r="7" ht="52" customHeight="1">
      <c r="A7" s="36" t="n">
        <v>3</v>
      </c>
      <c r="B7" s="37" t="inlineStr">
        <is>
          <t>Does a document declared twice count once or twice?</t>
        </is>
      </c>
      <c r="C7" s="38" t="inlineStr">
        <is>
          <t>UAT returns 1,990 rows against 1,984 distinct DocumentId. Six rows, but two reports using two rules is how one KPI ends up with two values.</t>
        </is>
      </c>
      <c r="D7" s="38" t="inlineStr">
        <is>
          <t>Once. Count distinct ListId + ItemId. Declaring the same file twice does not put two documents under records management.</t>
        </is>
      </c>
      <c r="E7" s="39" t="n"/>
      <c r="F7" s="39" t="n"/>
    </row>
    <row r="8" ht="52" customHeight="1">
      <c r="A8" s="36" t="n">
        <v>4</v>
      </c>
      <c r="B8" s="37" t="inlineStr">
        <is>
          <t>What counts as a document in Total Documents?</t>
        </is>
      </c>
      <c r="C8" s="38" t="inlineStr">
        <is>
          <t>Folders, version history and system files each move the 3.47M substantially, and the declaration rate with it.</t>
        </is>
      </c>
      <c r="D8" s="38" t="inlineStr">
        <is>
          <t>Compliant sites only, files only, exclude folders, exclude version history, current items only. Print the definition beside the KPI.</t>
        </is>
      </c>
      <c r="E8" s="39" t="n"/>
      <c r="F8" s="39" t="n"/>
    </row>
    <row r="9" ht="52" customHeight="1">
      <c r="A9" s="36" t="n">
        <v>5</v>
      </c>
      <c r="B9" s="37" t="inlineStr">
        <is>
          <t>Which file extensions map to which of the eight format groups?</t>
        </is>
      </c>
      <c r="C9" s="38" t="inlineStr">
        <is>
          <t>Without the list, FormatGroup has no rule and the Format and Storage dashboard cannot be built.</t>
        </is>
      </c>
      <c r="D9" s="38" t="inlineStr">
        <is>
          <t>A short list signed off once. The eight groups are already fixed in the prototype: PDF, Word, Excel, PowerPoint, Email, Image files, Video files, All other formats.</t>
        </is>
      </c>
      <c r="E9" s="39" t="n"/>
      <c r="F9" s="39" t="n"/>
    </row>
    <row r="10" ht="52" customHeight="1">
      <c r="A10" s="36" t="n">
        <v>6</v>
      </c>
      <c r="B10" s="37" t="inlineStr">
        <is>
          <t>How often should the report refresh?</t>
        </is>
      </c>
      <c r="C10" s="38" t="inlineStr">
        <is>
          <t>The document scan sets the cost. Daily is possible but roughly seven times the API load.</t>
        </is>
      </c>
      <c r="D10" s="38" t="inlineStr">
        <is>
          <t>Weekly. No decision in a utilization report turns on this morning versus last Tuesday.</t>
        </is>
      </c>
      <c r="E10" s="39" t="n"/>
      <c r="F10" s="39" t="n"/>
    </row>
    <row r="11" ht="52" customHeight="1">
      <c r="A11" s="36" t="n">
        <v>7</v>
      </c>
      <c r="B11" s="37" t="inlineStr">
        <is>
          <t>Is the 90 day Active Users fallback acceptable?</t>
        </is>
      </c>
      <c r="C11" s="38" t="inlineStr">
        <is>
          <t>Microsoft does not return unique viewers at 90 days. The dashboard currently shows site visits instead, with an amber note.</t>
        </is>
      </c>
      <c r="D11" s="38" t="inlineStr">
        <is>
          <t>Accept it and keep the note. The alternative is removing the 90 day option, which hides the limitation rather than stating it.</t>
        </is>
      </c>
      <c r="E11" s="39" t="n"/>
      <c r="F11" s="39" t="n"/>
    </row>
    <row r="13">
      <c r="B13" s="20" t="inlineStr">
        <is>
          <t>Yellow cells are the ones to fill in. Everything else is a statement of fact or a recommendation.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2026-08-08T05:32:20Z</dcterms:created>
  <dcterms:modified xsi:type="dcterms:W3CDTF">2026-08-08T05:32:20Z</dcterms:modified>
</cp:coreProperties>
</file>