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01 Bank-wide Oversight" sheetId="2" state="visible" r:id="rId2"/>
    <sheet name="02 Department Insights" sheetId="3" state="visible" r:id="rId3"/>
    <sheet name="03 Project Insights" sheetId="4" state="visible" r:id="rId4"/>
    <sheet name="04 Institutional File Plan" sheetId="5" state="visible" r:id="rId5"/>
    <sheet name="05 Retention and Disposal" sheetId="6" state="visible" r:id="rId6"/>
    <sheet name="06 Records and Archive Holdings" sheetId="7" state="visible" r:id="rId7"/>
    <sheet name="DB 1 UtilizationReport" sheetId="8" state="visible" r:id="rId8"/>
    <sheet name="DB 2 SiteActivity" sheetId="9" state="visible" r:id="rId9"/>
    <sheet name="DB 3 UserActivity" sheetId="10" state="visible" r:id="rId10"/>
    <sheet name="DB 4 FilePlan" sheetId="11" state="visible" r:id="rId11"/>
    <sheet name="Questions to client" sheetId="12" state="visible" r:id="rId12"/>
    <sheet name="Summary" sheetId="13" state="visible" r:id="rId13"/>
  </sheets>
  <definedNames>
    <definedName name="_xlnm._FilterDatabase" localSheetId="1" hidden="1">'01 Bank-wide Oversight'!$A$4:$O$58</definedName>
    <definedName name="_xlnm._FilterDatabase" localSheetId="2" hidden="1">'02 Department Insights'!$A$4:$O$26</definedName>
    <definedName name="_xlnm._FilterDatabase" localSheetId="3" hidden="1">'03 Project Insights'!$A$4:$O$10</definedName>
    <definedName name="_xlnm._FilterDatabase" localSheetId="4" hidden="1">'04 Institutional File Plan'!$A$4:$O$11</definedName>
    <definedName name="_xlnm._FilterDatabase" localSheetId="5" hidden="1">'05 Retention and Disposal'!$A$4:$O$13</definedName>
    <definedName name="_xlnm._FilterDatabase" localSheetId="6" hidden="1">'06 Records and Archive Holdings'!$A$4:$O$11</definedName>
    <definedName name="_xlnm._FilterDatabase" localSheetId="7" hidden="1">'DB 1 UtilizationReport'!$A$4:$I$40</definedName>
    <definedName name="_xlnm._FilterDatabase" localSheetId="8" hidden="1">'DB 2 SiteActivity'!$A$4:$I$25</definedName>
    <definedName name="_xlnm._FilterDatabase" localSheetId="9" hidden="1">'DB 3 UserActivity'!$A$4:$I$12</definedName>
    <definedName name="_xlnm._FilterDatabase" localSheetId="10" hidden="1">'DB 4 FilePlan'!$A$4:$I$12</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Arial"/>
      <b val="1"/>
      <color rgb="000067B1"/>
      <sz val="16"/>
    </font>
    <font>
      <name val="Arial"/>
      <i val="1"/>
      <color rgb="006B7785"/>
      <sz val="10"/>
    </font>
    <font>
      <name val="Arial"/>
      <sz val="10"/>
    </font>
    <font>
      <name val="Arial"/>
      <b val="1"/>
      <sz val="10"/>
    </font>
    <font>
      <name val="Arial"/>
      <b val="1"/>
      <color rgb="000067B1"/>
      <sz val="14"/>
    </font>
    <font>
      <name val="Arial"/>
      <i val="1"/>
      <color rgb="006B7785"/>
      <sz val="9"/>
    </font>
    <font>
      <name val="Arial"/>
      <b val="1"/>
      <color rgb="00FFFFFF"/>
      <sz val="9.5"/>
    </font>
    <font>
      <name val="Arial"/>
      <sz val="9"/>
    </font>
    <font>
      <name val="Arial"/>
      <b val="1"/>
      <sz val="9"/>
    </font>
    <font>
      <name val="Arial"/>
      <b val="1"/>
      <color rgb="000067B1"/>
      <sz val="11"/>
    </font>
    <font>
      <name val="Arial"/>
      <color rgb="006B7785"/>
      <sz val="9"/>
    </font>
  </fonts>
  <fills count="11">
    <fill>
      <patternFill/>
    </fill>
    <fill>
      <patternFill patternType="gray125"/>
    </fill>
    <fill>
      <patternFill patternType="solid">
        <fgColor rgb="00E8EFF6"/>
      </patternFill>
    </fill>
    <fill>
      <patternFill patternType="solid">
        <fgColor rgb="000067B1"/>
      </patternFill>
    </fill>
    <fill>
      <patternFill patternType="solid">
        <fgColor rgb="00D9EFD9"/>
      </patternFill>
    </fill>
    <fill>
      <patternFill patternType="solid">
        <fgColor rgb="00E4F0DA"/>
      </patternFill>
    </fill>
    <fill>
      <patternFill patternType="solid">
        <fgColor rgb="00F8D7D7"/>
      </patternFill>
    </fill>
    <fill>
      <patternFill patternType="solid">
        <fgColor rgb="00FFF7DA"/>
      </patternFill>
    </fill>
    <fill>
      <patternFill patternType="solid">
        <fgColor rgb="00FFF2CC"/>
      </patternFill>
    </fill>
    <fill>
      <patternFill patternType="solid">
        <fgColor rgb="00FFE4CC"/>
      </patternFill>
    </fill>
    <fill>
      <patternFill patternType="solid">
        <fgColor rgb="00E2DCF0"/>
      </patternFill>
    </fill>
  </fills>
  <borders count="2">
    <border>
      <left/>
      <right/>
      <top/>
      <bottom/>
      <diagonal/>
    </border>
    <border>
      <left style="thin">
        <color rgb="00D4DCE4"/>
      </left>
      <right style="thin">
        <color rgb="00D4DCE4"/>
      </right>
      <top style="thin">
        <color rgb="00D4DCE4"/>
      </top>
      <bottom style="thin">
        <color rgb="00D4DCE4"/>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0" fillId="2" borderId="0" pivotButton="0" quotePrefix="0" xfId="0"/>
    <xf numFmtId="0" fontId="6" fillId="2" borderId="0" pivotButton="0" quotePrefix="0" xfId="0"/>
    <xf numFmtId="0" fontId="7" fillId="3" borderId="1" applyAlignment="1" pivotButton="0" quotePrefix="0" xfId="0">
      <alignment vertical="center" wrapText="1"/>
    </xf>
    <xf numFmtId="0" fontId="8" fillId="0" borderId="1" applyAlignment="1" pivotButton="0" quotePrefix="0" xfId="0">
      <alignment horizontal="center" vertical="top"/>
    </xf>
    <xf numFmtId="0" fontId="8" fillId="0" borderId="1" applyAlignment="1" pivotButton="0" quotePrefix="0" xfId="0">
      <alignment vertical="top" wrapText="1"/>
    </xf>
    <xf numFmtId="0" fontId="9" fillId="4" borderId="1" applyAlignment="1" pivotButton="0" quotePrefix="0" xfId="0">
      <alignment vertical="top" wrapText="1"/>
    </xf>
    <xf numFmtId="0" fontId="9" fillId="5" borderId="1" applyAlignment="1" pivotButton="0" quotePrefix="0" xfId="0">
      <alignment vertical="top" wrapText="1"/>
    </xf>
    <xf numFmtId="0" fontId="9" fillId="6" borderId="1" applyAlignment="1" pivotButton="0" quotePrefix="0" xfId="0">
      <alignment vertical="top" wrapText="1"/>
    </xf>
    <xf numFmtId="0" fontId="9" fillId="7" borderId="1" applyAlignment="1" pivotButton="0" quotePrefix="0" xfId="0">
      <alignment vertical="top" wrapText="1"/>
    </xf>
    <xf numFmtId="0" fontId="9" fillId="8" borderId="1" applyAlignment="1" pivotButton="0" quotePrefix="0" xfId="0">
      <alignment vertical="top" wrapText="1"/>
    </xf>
    <xf numFmtId="0" fontId="9" fillId="9" borderId="1" applyAlignment="1" pivotButton="0" quotePrefix="0" xfId="0">
      <alignment vertical="top" wrapText="1"/>
    </xf>
    <xf numFmtId="0" fontId="9" fillId="10" borderId="1" applyAlignment="1" pivotButton="0" quotePrefix="0" xfId="0">
      <alignment vertical="top" wrapText="1"/>
    </xf>
    <xf numFmtId="0" fontId="9" fillId="0" borderId="1" applyAlignment="1" pivotButton="0" quotePrefix="0" xfId="0">
      <alignment vertical="top" wrapText="1"/>
    </xf>
    <xf numFmtId="0" fontId="10" fillId="0" borderId="0" pivotButton="0" quotePrefix="0" xfId="0"/>
    <xf numFmtId="0" fontId="8" fillId="4" borderId="1" applyAlignment="1" pivotButton="0" quotePrefix="0" xfId="0">
      <alignment vertical="top" wrapText="1"/>
    </xf>
    <xf numFmtId="3" fontId="8" fillId="0" borderId="1" applyAlignment="1" pivotButton="0" quotePrefix="0" xfId="0">
      <alignment horizontal="center" vertical="top"/>
    </xf>
    <xf numFmtId="164" fontId="8" fillId="0" borderId="1" applyAlignment="1" pivotButton="0" quotePrefix="0" xfId="0">
      <alignment horizontal="center" vertical="top"/>
    </xf>
    <xf numFmtId="0" fontId="8" fillId="5"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8" fillId="7" borderId="1" applyAlignment="1" pivotButton="0" quotePrefix="0" xfId="0">
      <alignment vertical="top" wrapText="1"/>
    </xf>
    <xf numFmtId="0" fontId="8" fillId="6" borderId="1" applyAlignment="1" pivotButton="0" quotePrefix="0" xfId="0">
      <alignment vertical="top" wrapText="1"/>
    </xf>
    <xf numFmtId="0" fontId="8" fillId="10" borderId="1" applyAlignment="1" pivotButton="0" quotePrefix="0" xfId="0">
      <alignment vertical="top" wrapText="1"/>
    </xf>
    <xf numFmtId="0" fontId="9" fillId="2" borderId="1" applyAlignment="1" pivotButton="0" quotePrefix="0" xfId="0">
      <alignment vertical="top" wrapText="1"/>
    </xf>
    <xf numFmtId="3" fontId="9" fillId="2" borderId="1" applyAlignment="1" pivotButton="0" quotePrefix="0" xfId="0">
      <alignment horizontal="center" vertical="top"/>
    </xf>
    <xf numFmtId="164" fontId="9" fillId="2" borderId="1" applyAlignment="1" pivotButton="0" quotePrefix="0" xfId="0">
      <alignment horizontal="center" vertical="top"/>
    </xf>
    <xf numFmtId="0" fontId="4" fillId="0" borderId="0" pivotButton="0" quotePrefix="0" xfId="0"/>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3"/>
  <sheetViews>
    <sheetView showGridLines="0" workbookViewId="0">
      <selection activeCell="A1" sqref="A1"/>
    </sheetView>
  </sheetViews>
  <sheetFormatPr baseColWidth="8" defaultRowHeight="15"/>
  <cols>
    <col width="3" customWidth="1" min="1" max="1"/>
    <col width="30" customWidth="1" min="2" max="2"/>
    <col width="104" customWidth="1" min="3" max="3"/>
  </cols>
  <sheetData>
    <row r="1">
      <c r="B1" s="1" t="inlineStr">
        <is>
          <t>EDRMS Utilization Report: report checker</t>
        </is>
      </c>
    </row>
    <row r="2">
      <c r="B2" s="2" t="inlineStr">
        <is>
          <t>13 August 2026. One sheet per dashboard, plus the database design behind them.</t>
        </is>
      </c>
    </row>
    <row r="4">
      <c r="B4" s="3" t="inlineStr"/>
      <c r="C4" s="3" t="inlineStr"/>
    </row>
    <row r="5">
      <c r="B5" s="4" t="inlineStr">
        <is>
          <t>What this workbook is for</t>
        </is>
      </c>
      <c r="C5" s="3" t="inlineStr">
        <is>
          <t>Checking the report. Every figure on every dashboard is listed with where it comes from, which database column carries it, how it is computed, whether it can be tested in the tenant today, and what to ask the client about it.</t>
        </is>
      </c>
    </row>
    <row r="6">
      <c r="B6" s="4" t="inlineStr">
        <is>
          <t>How to use it</t>
        </is>
      </c>
      <c r="C6" s="3" t="inlineStr">
        <is>
          <t>Filter a dashboard sheet on the Status column. Green rows can be built now. Everything else names what is missing and, in the last column, exactly what to ask and why.</t>
        </is>
      </c>
    </row>
    <row r="7">
      <c r="B7" s="3" t="inlineStr"/>
      <c r="C7" s="3" t="inlineStr"/>
    </row>
    <row r="8">
      <c r="B8" s="4" t="inlineStr">
        <is>
          <t>The columns on each dashboard sheet</t>
        </is>
      </c>
      <c r="C8" s="3" t="inlineStr"/>
    </row>
    <row r="9">
      <c r="B9" s="4" t="inlineStr">
        <is>
          <t>Section, Element, Type</t>
        </is>
      </c>
      <c r="C9" s="3" t="inlineStr">
        <is>
          <t>Where the figure sits on the dashboard, and what kind of thing it is</t>
        </is>
      </c>
    </row>
    <row r="10">
      <c r="B10" s="4" t="inlineStr">
        <is>
          <t>What the figure is</t>
        </is>
      </c>
      <c r="C10" s="3" t="inlineStr">
        <is>
          <t>The measure in one line, so a reader does not have to open the report</t>
        </is>
      </c>
    </row>
    <row r="11">
      <c r="B11" s="4" t="inlineStr">
        <is>
          <t>Source system</t>
        </is>
      </c>
      <c r="C11" s="3" t="inlineStr">
        <is>
          <t>EDRMS database, Microsoft Graph, M365 usage report, site analytics, term store, SharePoint list, or No source</t>
        </is>
      </c>
    </row>
    <row r="12">
      <c r="B12" s="4" t="inlineStr">
        <is>
          <t>Database table and column</t>
        </is>
      </c>
      <c r="C12" s="3" t="inlineStr">
        <is>
          <t>Which of the four tables carries it, and which column. Blank means the column does not exist</t>
        </is>
      </c>
    </row>
    <row r="13">
      <c r="B13" s="4" t="inlineStr">
        <is>
          <t>How it is produced</t>
        </is>
      </c>
      <c r="C13" s="3" t="inlineStr">
        <is>
          <t>The formula or the direction to source it. Written to be handed to whoever builds the Power BI measure</t>
        </is>
      </c>
    </row>
    <row r="14">
      <c r="B14" s="4" t="inlineStr">
        <is>
          <t>In the design?</t>
        </is>
      </c>
      <c r="C14" s="3" t="inlineStr">
        <is>
          <t>Whether the 73 column design already carries it</t>
        </is>
      </c>
    </row>
    <row r="15">
      <c r="B15" s="4" t="inlineStr">
        <is>
          <t>In the tenant today?</t>
        </is>
      </c>
      <c r="C15" s="3" t="inlineStr">
        <is>
          <t>Whether the data exists in the test tenant now</t>
        </is>
      </c>
    </row>
    <row r="16">
      <c r="B16" s="4" t="inlineStr">
        <is>
          <t>Testable in the tenant, and how</t>
        </is>
      </c>
      <c r="C16" s="3" t="inlineStr">
        <is>
          <t>The actual check to run, with the export or the API call</t>
        </is>
      </c>
    </row>
    <row r="17">
      <c r="B17" s="4" t="inlineStr">
        <is>
          <t>Effort</t>
        </is>
      </c>
      <c r="C17" s="3" t="inlineStr">
        <is>
          <t>Easy, Medium or Blocked</t>
        </is>
      </c>
    </row>
    <row r="18">
      <c r="B18" s="4" t="inlineStr">
        <is>
          <t>Status</t>
        </is>
      </c>
      <c r="C18" s="3" t="inlineStr">
        <is>
          <t>The verdict. Colour coded, see the Summary sheet</t>
        </is>
      </c>
    </row>
    <row r="19">
      <c r="B19" s="4" t="inlineStr">
        <is>
          <t>Question to ask the client</t>
        </is>
      </c>
      <c r="C19" s="3" t="inlineStr">
        <is>
          <t>What to ask, and why it matters. Blank means nothing to ask</t>
        </is>
      </c>
    </row>
    <row r="20">
      <c r="B20" s="3" t="inlineStr"/>
      <c r="C20" s="3" t="inlineStr"/>
    </row>
    <row r="21">
      <c r="B21" s="4" t="inlineStr">
        <is>
          <t>The single most important fact</t>
        </is>
      </c>
      <c r="C21" s="3" t="inlineStr"/>
    </row>
    <row r="22">
      <c r="B22" s="4" t="inlineStr">
        <is>
          <t>Records holds declared records only</t>
        </is>
      </c>
      <c r="C22" s="3" t="inlineStr">
        <is>
          <t>public."Records" in drm-npr contains declared records only, about 1,990 in UAT, and no row at all for an undeclared document. So every figure about declared records can be produced today, and every figure needing a denominator waits on the weekly SharePoint scan being built.</t>
        </is>
      </c>
    </row>
    <row r="23">
      <c r="B23" s="3" t="inlineStr"/>
      <c r="C23" s="3" t="inlineStr"/>
    </row>
    <row r="24">
      <c r="B24" s="4" t="inlineStr">
        <is>
          <t>The three query rules</t>
        </is>
      </c>
      <c r="C24" s="3" t="inlineStr">
        <is>
          <t>Getting any of these wrong produces a plausible wrong number, not an error</t>
        </is>
      </c>
    </row>
    <row r="25">
      <c r="B25" s="4" t="inlineStr">
        <is>
          <t>1. Read the latest snapshot</t>
        </is>
      </c>
      <c r="C25" s="3" t="inlineStr">
        <is>
          <t>Or 1,057 compliant sites silently becomes 55,000 after a year of retained history</t>
        </is>
      </c>
    </row>
    <row r="26">
      <c r="B26" s="4" t="inlineStr">
        <is>
          <t>2. A range sums SiteVisits7</t>
        </is>
      </c>
      <c r="C26" s="3" t="inlineStr">
        <is>
          <t>Never the 30, 90 or 180 day figures. Consecutive 7 day windows tile exactly, longer ones overlap and would count most days several times over</t>
        </is>
      </c>
    </row>
    <row r="27">
      <c r="B27" s="4" t="inlineStr">
        <is>
          <t>3. Match on ReportRefreshDate, not SnapshotDate</t>
        </is>
      </c>
      <c r="C27" s="3" t="inlineStr">
        <is>
          <t>The first is what Microsoft measured, the second is when the job ran, and they differ. An export taken on 12 Aug carried figures as at 10 Aug</t>
        </is>
      </c>
    </row>
    <row r="28">
      <c r="B28" s="3" t="inlineStr"/>
      <c r="C28" s="3" t="inlineStr"/>
    </row>
    <row r="29">
      <c r="B29" s="4" t="inlineStr">
        <is>
          <t>Sheets</t>
        </is>
      </c>
      <c r="C29" s="3" t="inlineStr"/>
    </row>
    <row r="30">
      <c r="B30" s="4" t="inlineStr">
        <is>
          <t>01 to 06</t>
        </is>
      </c>
      <c r="C30" s="3" t="inlineStr">
        <is>
          <t>One per dashboard, in the client's own order from PPT s13</t>
        </is>
      </c>
    </row>
    <row r="31">
      <c r="B31" s="4" t="inlineStr">
        <is>
          <t>DB 1 to DB 4</t>
        </is>
      </c>
      <c r="C31" s="3" t="inlineStr">
        <is>
          <t>The four tables, every column, its type, source and remarks</t>
        </is>
      </c>
    </row>
    <row r="32">
      <c r="B32" s="4" t="inlineStr">
        <is>
          <t>Questions to client</t>
        </is>
      </c>
      <c r="C32" s="3" t="inlineStr">
        <is>
          <t>Every question from the dashboard sheets, deduplicated and prioritised</t>
        </is>
      </c>
    </row>
    <row r="33">
      <c r="B33" s="4" t="inlineStr">
        <is>
          <t>Summary</t>
        </is>
      </c>
      <c r="C33" s="3" t="inlineStr">
        <is>
          <t>Counts by status and by dashboard, computed from the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Bank-wide Oversight</t>
        </is>
      </c>
      <c r="B1" s="6" t="n"/>
      <c r="C1" s="6" t="n"/>
      <c r="D1" s="6" t="n"/>
      <c r="E1" s="6" t="n"/>
      <c r="F1" s="6" t="n"/>
      <c r="G1" s="6" t="n"/>
      <c r="H1" s="6" t="n"/>
      <c r="I1" s="6" t="n"/>
      <c r="J1" s="6" t="n"/>
      <c r="K1" s="6" t="n"/>
      <c r="L1" s="6" t="n"/>
      <c r="M1" s="6" t="n"/>
      <c r="N1" s="6" t="n"/>
      <c r="O1" s="6" t="n"/>
    </row>
    <row r="2" ht="16" customHeight="1">
      <c r="A2" s="7" t="inlineStr">
        <is>
          <t>Client design: PPT s13 to s18, s34 to s44.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Top panel</t>
        </is>
      </c>
      <c r="C5" s="10" t="inlineStr">
        <is>
          <t>Total EDRMS Users</t>
        </is>
      </c>
      <c r="D5" s="10" t="inlineStr">
        <is>
          <t>KPI</t>
        </is>
      </c>
      <c r="E5" s="10" t="inlineStr">
        <is>
          <t>Distinct people who used SharePoint in the window</t>
        </is>
      </c>
      <c r="F5" s="10" t="inlineStr">
        <is>
          <t>M365 usage report</t>
        </is>
      </c>
      <c r="G5" s="10" t="inlineStr">
        <is>
          <t>3 User Activity</t>
        </is>
      </c>
      <c r="H5" s="10" t="inlineStr">
        <is>
          <t>UserPrincipalName, ViewedOrEditedFileCount</t>
        </is>
      </c>
      <c r="I5" s="10" t="inlineStr">
        <is>
          <t>COUNT(DISTINCT UserPrincipalName) WHERE ViewedOrEditedFileCount &gt; 0, over the latest snapshot</t>
        </is>
      </c>
      <c r="J5" s="10" t="inlineStr">
        <is>
          <t>Yes</t>
        </is>
      </c>
      <c r="K5" s="10" t="inlineStr">
        <is>
          <t>Yes</t>
        </is>
      </c>
      <c r="L5" s="10" t="inlineStr">
        <is>
          <t>Yes. Export the SharePoint activity user detail report. Note only 8 of the 30 licensed users in UAT show any activity</t>
        </is>
      </c>
      <c r="M5" s="10" t="inlineStr">
        <is>
          <t>Easy</t>
        </is>
      </c>
      <c r="N5" s="11" t="inlineStr">
        <is>
          <t>Buildable now</t>
        </is>
      </c>
      <c r="O5" s="10" t="inlineStr">
        <is>
          <t>None. Warn the client that the export lists every licensed user, so the row count is not the active count</t>
        </is>
      </c>
    </row>
    <row r="6">
      <c r="A6" s="9" t="n">
        <v>2</v>
      </c>
      <c r="B6" s="10" t="inlineStr">
        <is>
          <t>Top panel</t>
        </is>
      </c>
      <c r="C6" s="10" t="inlineStr">
        <is>
          <t>Total Documents in EDRMS</t>
        </is>
      </c>
      <c r="D6" s="10" t="inlineStr">
        <is>
          <t>KPI</t>
        </is>
      </c>
      <c r="E6" s="10" t="inlineStr">
        <is>
          <t>All documents in compliant sites, declared or not</t>
        </is>
      </c>
      <c r="F6" s="10" t="inlineStr">
        <is>
          <t>EDRMS database plus scan</t>
        </is>
      </c>
      <c r="G6" s="10" t="inlineStr">
        <is>
          <t>1 Utilization Report</t>
        </is>
      </c>
      <c r="H6" s="10" t="inlineStr">
        <is>
          <t>All rows WHERE IsEdrmsCompliant AND NOT IsDeleted</t>
        </is>
      </c>
      <c r="I6" s="10" t="inlineStr">
        <is>
          <t>COUNT(*). The undeclared rows are the denominator for every rate</t>
        </is>
      </c>
      <c r="J6" s="10" t="inlineStr">
        <is>
          <t>Yes</t>
        </is>
      </c>
      <c r="K6" s="10" t="inlineStr">
        <is>
          <t>Partly</t>
        </is>
      </c>
      <c r="L6" s="10" t="inlineStr">
        <is>
          <t>Partly. The declared half is queryable today. The undeclared half needs the weekly SharePoint scan, which is not built</t>
        </is>
      </c>
      <c r="M6" s="10" t="inlineStr">
        <is>
          <t>Medium</t>
        </is>
      </c>
      <c r="N6" s="11" t="inlineStr">
        <is>
          <t>Buildable now</t>
        </is>
      </c>
      <c r="O6" s="10" t="inlineStr">
        <is>
          <t>None, but flag that the weekly scan must be built before this is real</t>
        </is>
      </c>
    </row>
    <row r="7">
      <c r="A7" s="9" t="n">
        <v>3</v>
      </c>
      <c r="B7" s="10" t="inlineStr">
        <is>
          <t>Top panel</t>
        </is>
      </c>
      <c r="C7" s="10" t="inlineStr">
        <is>
          <t>Total Records Declared</t>
        </is>
      </c>
      <c r="D7" s="10" t="inlineStr">
        <is>
          <t>KPI</t>
        </is>
      </c>
      <c r="E7" s="10" t="inlineStr">
        <is>
          <t>Documents formally declared as records</t>
        </is>
      </c>
      <c r="F7" s="10" t="inlineStr">
        <is>
          <t>EDRMS database</t>
        </is>
      </c>
      <c r="G7" s="10" t="inlineStr">
        <is>
          <t>1 Utilization Report</t>
        </is>
      </c>
      <c r="H7" s="10" t="inlineStr">
        <is>
          <t>IsDeclaredRecord</t>
        </is>
      </c>
      <c r="I7" s="10" t="inlineStr">
        <is>
          <t>COUNT(*) WHERE IsDeclaredRecord = true</t>
        </is>
      </c>
      <c r="J7" s="10" t="inlineStr">
        <is>
          <t>Yes</t>
        </is>
      </c>
      <c r="K7" s="10" t="inlineStr">
        <is>
          <t>Yes</t>
        </is>
      </c>
      <c r="L7" s="10" t="inlineStr">
        <is>
          <t>Yes. Query public."Records" in drm-npr and count rows. About 1,990 in UAT</t>
        </is>
      </c>
      <c r="M7" s="10" t="inlineStr">
        <is>
          <t>Easy</t>
        </is>
      </c>
      <c r="N7" s="11" t="inlineStr">
        <is>
          <t>Buildable now</t>
        </is>
      </c>
      <c r="O7" s="10" t="inlineStr"/>
    </row>
    <row r="8">
      <c r="A8" s="9" t="n">
        <v>4</v>
      </c>
      <c r="B8" s="10" t="inlineStr">
        <is>
          <t>Top panel</t>
        </is>
      </c>
      <c r="C8" s="10" t="inlineStr">
        <is>
          <t>Total Physical Counterparts</t>
        </is>
      </c>
      <c r="D8" s="10" t="inlineStr">
        <is>
          <t>KPI</t>
        </is>
      </c>
      <c r="E8" s="10" t="inlineStr">
        <is>
          <t>Declared records with a paper counterpart</t>
        </is>
      </c>
      <c r="F8" s="10" t="inlineStr">
        <is>
          <t>EDRMS database</t>
        </is>
      </c>
      <c r="G8" s="10" t="inlineStr">
        <is>
          <t>1 Utilization Report</t>
        </is>
      </c>
      <c r="H8" s="10" t="inlineStr">
        <is>
          <t>HasPhysical</t>
        </is>
      </c>
      <c r="I8" s="10" t="inlineStr">
        <is>
          <t>COUNT(*) WHERE HasPhysical = true</t>
        </is>
      </c>
      <c r="J8" s="10" t="inlineStr">
        <is>
          <t>Yes</t>
        </is>
      </c>
      <c r="K8" s="10" t="inlineStr">
        <is>
          <t>Yes</t>
        </is>
      </c>
      <c r="L8" s="10" t="inlineStr">
        <is>
          <t>Yes. Query Records and count where the EDRMSMeta HasPhysical key is true</t>
        </is>
      </c>
      <c r="M8" s="10" t="inlineStr">
        <is>
          <t>Easy</t>
        </is>
      </c>
      <c r="N8" s="11" t="inlineStr">
        <is>
          <t>Buildable now</t>
        </is>
      </c>
      <c r="O8" s="10" t="inlineStr"/>
    </row>
    <row r="9">
      <c r="A9" s="9" t="n">
        <v>5</v>
      </c>
      <c r="B9" s="10" t="inlineStr">
        <is>
          <t>Top panel</t>
        </is>
      </c>
      <c r="C9" s="10" t="inlineStr">
        <is>
          <t>Total Records Due for Disposal</t>
        </is>
      </c>
      <c r="D9" s="10" t="inlineStr">
        <is>
          <t>KPI</t>
        </is>
      </c>
      <c r="E9" s="10" t="inlineStr">
        <is>
          <t>Records reaching the end of retention in 12 months</t>
        </is>
      </c>
      <c r="F9" s="10" t="inlineStr">
        <is>
          <t>EDRMS database</t>
        </is>
      </c>
      <c r="G9" s="10" t="inlineStr">
        <is>
          <t>1 Utilization Report</t>
        </is>
      </c>
      <c r="H9" s="10" t="inlineStr">
        <is>
          <t>EDRMSDueDateForDisposal</t>
        </is>
      </c>
      <c r="I9" s="10" t="inlineStr">
        <is>
          <t>COUNT(*) WHERE EDRMSDueDateForDisposal BETWEEN today AND today + 12 months</t>
        </is>
      </c>
      <c r="J9" s="10" t="inlineStr">
        <is>
          <t>Yes</t>
        </is>
      </c>
      <c r="K9" s="10" t="inlineStr">
        <is>
          <t>Yes</t>
        </is>
      </c>
      <c r="L9" s="10" t="inlineStr">
        <is>
          <t>Yes. The due date is already computed in the source database</t>
        </is>
      </c>
      <c r="M9" s="10" t="inlineStr">
        <is>
          <t>Easy</t>
        </is>
      </c>
      <c r="N9" s="11" t="inlineStr">
        <is>
          <t>Buildable now</t>
        </is>
      </c>
      <c r="O9" s="10" t="inlineStr"/>
    </row>
    <row r="10">
      <c r="A10" s="9" t="n">
        <v>6</v>
      </c>
      <c r="B10" s="10" t="inlineStr">
        <is>
          <t>Top panel</t>
        </is>
      </c>
      <c r="C10" s="10" t="inlineStr">
        <is>
          <t>Active EDRMS Sites, Department / RM / Office</t>
        </is>
      </c>
      <c r="D10" s="10" t="inlineStr">
        <is>
          <t>KPI</t>
        </is>
      </c>
      <c r="E10" s="10" t="inlineStr">
        <is>
          <t>Compliant departmental sites still in use</t>
        </is>
      </c>
      <c r="F10" s="10" t="inlineStr">
        <is>
          <t>M365 usage report plus Microsoft Graph</t>
        </is>
      </c>
      <c r="G10" s="10" t="inlineStr">
        <is>
          <t>2 Site Activity</t>
        </is>
      </c>
      <c r="H10" s="10" t="inlineStr">
        <is>
          <t>IsEdrmsCompliant, LastActivityDate, ADBDepartmentOwner</t>
        </is>
      </c>
      <c r="I10" s="10" t="inlineStr">
        <is>
          <t>COUNT(*) WHERE IsEdrmsCompliant AND LastActivityDate &gt;= today - 90</t>
        </is>
      </c>
      <c r="J10" s="10" t="inlineStr">
        <is>
          <t>Yes, 2 columns need a rule</t>
        </is>
      </c>
      <c r="K10" s="10" t="inlineStr">
        <is>
          <t>Partly</t>
        </is>
      </c>
      <c r="L10" s="10" t="inlineStr">
        <is>
          <t>Yes. Export the SharePoint site usage report from admin.microsoft.com, Reports, Usage, SharePoint site usage</t>
        </is>
      </c>
      <c r="M10" s="10" t="inlineStr">
        <is>
          <t>Medium</t>
        </is>
      </c>
      <c r="N10" s="12" t="inlineStr">
        <is>
          <t>Needs department list</t>
        </is>
      </c>
      <c r="O10" s="10" t="inlineStr">
        <is>
          <t>Ask Mihal Le which API returns the installed app list per site, for app {B255A2AF-7F63-4A30-966A-5D5FD99F97D7}. Why: it defines which sites are in the report at all. Also Ask whether an inactive site is 90 days or 300. The deck says 90, the metrics document says 300. Why: it changes every inactivity figure, and it is a one line change either way</t>
        </is>
      </c>
    </row>
    <row r="11">
      <c r="A11" s="9" t="n">
        <v>7</v>
      </c>
      <c r="B11" s="10" t="inlineStr">
        <is>
          <t>Top panel</t>
        </is>
      </c>
      <c r="C11" s="10" t="inlineStr">
        <is>
          <t>Active EDRMS Sites, Sovereign Projects</t>
        </is>
      </c>
      <c r="D11" s="10" t="inlineStr">
        <is>
          <t>KPI</t>
        </is>
      </c>
      <c r="E11" s="10" t="inlineStr">
        <is>
          <t>Compliant sites belonging to sovereign projects</t>
        </is>
      </c>
      <c r="F11" s="10" t="inlineStr">
        <is>
          <t>No source</t>
        </is>
      </c>
      <c r="G11" s="10" t="inlineStr">
        <is>
          <t>2 Site Activity</t>
        </is>
      </c>
      <c r="H11" s="10" t="inlineStr">
        <is>
          <t>No column exists</t>
        </is>
      </c>
      <c r="I11" s="10" t="inlineStr">
        <is>
          <t>Would be COUNT(*) WHERE facility type = Sovereign</t>
        </is>
      </c>
      <c r="J11" s="10" t="inlineStr">
        <is>
          <t>No</t>
        </is>
      </c>
      <c r="K11" s="10" t="inlineStr">
        <is>
          <t>No</t>
        </is>
      </c>
      <c r="L11" s="10" t="inlineStr">
        <is>
          <t>No. Nothing in the tenant holds this</t>
        </is>
      </c>
      <c r="M11" s="10" t="inlineStr">
        <is>
          <t>Blocked</t>
        </is>
      </c>
      <c r="N11" s="13" t="inlineStr">
        <is>
          <t>Needs new data source</t>
        </is>
      </c>
      <c r="O11"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12">
      <c r="A12" s="9" t="n">
        <v>8</v>
      </c>
      <c r="B12" s="10" t="inlineStr">
        <is>
          <t>Top panel</t>
        </is>
      </c>
      <c r="C12" s="10" t="inlineStr">
        <is>
          <t>Active EDRMS Sites, Nonsovereign Projects</t>
        </is>
      </c>
      <c r="D12" s="10" t="inlineStr">
        <is>
          <t>KPI</t>
        </is>
      </c>
      <c r="E12" s="10" t="inlineStr">
        <is>
          <t>Compliant sites belonging to nonsovereign projects</t>
        </is>
      </c>
      <c r="F12" s="10" t="inlineStr">
        <is>
          <t>No source</t>
        </is>
      </c>
      <c r="G12" s="10" t="inlineStr">
        <is>
          <t>2 Site Activity</t>
        </is>
      </c>
      <c r="H12" s="10" t="inlineStr">
        <is>
          <t>No column exists</t>
        </is>
      </c>
      <c r="I12" s="10" t="inlineStr">
        <is>
          <t>Would be COUNT(*) WHERE facility type = Nonsovereign</t>
        </is>
      </c>
      <c r="J12" s="10" t="inlineStr">
        <is>
          <t>No</t>
        </is>
      </c>
      <c r="K12" s="10" t="inlineStr">
        <is>
          <t>No</t>
        </is>
      </c>
      <c r="L12" s="10" t="inlineStr">
        <is>
          <t>No. Nothing in the tenant holds this</t>
        </is>
      </c>
      <c r="M12" s="10" t="inlineStr">
        <is>
          <t>Blocked</t>
        </is>
      </c>
      <c r="N12" s="13" t="inlineStr">
        <is>
          <t>Needs new data source</t>
        </is>
      </c>
      <c r="O12"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13">
      <c r="A13" s="9" t="n">
        <v>9</v>
      </c>
      <c r="B13" s="10" t="inlineStr">
        <is>
          <t>Users drill</t>
        </is>
      </c>
      <c r="C13" s="10" t="inlineStr">
        <is>
          <t>Active users, Never accessed, No access in 90 days</t>
        </is>
      </c>
      <c r="D13" s="10" t="inlineStr">
        <is>
          <t>Tile</t>
        </is>
      </c>
      <c r="E13" s="10" t="inlineStr">
        <is>
          <t>Adoption split of the user population</t>
        </is>
      </c>
      <c r="F13" s="10" t="inlineStr">
        <is>
          <t>M365 usage report</t>
        </is>
      </c>
      <c r="G13" s="10" t="inlineStr">
        <is>
          <t>3 User Activity</t>
        </is>
      </c>
      <c r="H13" s="10" t="inlineStr">
        <is>
          <t>LastActivityDate, ViewedOrEditedFileCount</t>
        </is>
      </c>
      <c r="I13" s="10" t="inlineStr">
        <is>
          <t>Active: ViewedOrEditedFileCount &gt; 0. Never accessed: LastActivityDate IS NULL. Idle: LastActivityDate &lt; today - 90</t>
        </is>
      </c>
      <c r="J13" s="10" t="inlineStr">
        <is>
          <t>Yes</t>
        </is>
      </c>
      <c r="K13" s="10" t="inlineStr">
        <is>
          <t>Yes</t>
        </is>
      </c>
      <c r="L13" s="10" t="inlineStr">
        <is>
          <t>Yes. Export the SharePoint activity user detail report. Note only 8 of the 30 licensed users in UAT show any activity</t>
        </is>
      </c>
      <c r="M13" s="10" t="inlineStr">
        <is>
          <t>Easy</t>
        </is>
      </c>
      <c r="N13" s="11" t="inlineStr">
        <is>
          <t>Buildable now</t>
        </is>
      </c>
      <c r="O13" s="10" t="inlineStr"/>
    </row>
    <row r="14">
      <c r="A14" s="9" t="n">
        <v>10</v>
      </c>
      <c r="B14" s="10" t="inlineStr">
        <is>
          <t>Users drill</t>
        </is>
      </c>
      <c r="C14" s="10" t="inlineStr">
        <is>
          <t>Staff, Contractors, Consultants</t>
        </is>
      </c>
      <c r="D14" s="10" t="inlineStr">
        <is>
          <t>Table column</t>
        </is>
      </c>
      <c r="E14" s="10" t="inlineStr">
        <is>
          <t>Employment class of each user</t>
        </is>
      </c>
      <c r="F14" s="10" t="inlineStr">
        <is>
          <t>No source</t>
        </is>
      </c>
      <c r="G14" s="10" t="inlineStr">
        <is>
          <t>3 User Activity</t>
        </is>
      </c>
      <c r="H14" s="10" t="inlineStr">
        <is>
          <t>No column exists</t>
        </is>
      </c>
      <c r="I14" s="10" t="inlineStr">
        <is>
          <t>Would be a GROUP BY over an employment type carried on the user row</t>
        </is>
      </c>
      <c r="J14" s="10" t="inlineStr">
        <is>
          <t>No</t>
        </is>
      </c>
      <c r="K14" s="10" t="inlineStr">
        <is>
          <t>No</t>
        </is>
      </c>
      <c r="L14" s="10" t="inlineStr">
        <is>
          <t>No. Nothing in the tenant holds this</t>
        </is>
      </c>
      <c r="M14" s="10" t="inlineStr">
        <is>
          <t>Blocked</t>
        </is>
      </c>
      <c r="N14" s="13" t="inlineStr">
        <is>
          <t>Needs new data source</t>
        </is>
      </c>
      <c r="O14" s="10" t="inlineStr">
        <is>
          <t>Ask which system owns staff, contractor and consultant classification and training completion. The client asks the same question on their own slide 54. Why: nothing in SharePoint holds it</t>
        </is>
      </c>
    </row>
    <row r="15">
      <c r="A15" s="9" t="n">
        <v>11</v>
      </c>
      <c r="B15" s="10" t="inlineStr">
        <is>
          <t>Users drill</t>
        </is>
      </c>
      <c r="C15" s="10" t="inlineStr">
        <is>
          <t>Training completion</t>
        </is>
      </c>
      <c r="D15" s="10" t="inlineStr">
        <is>
          <t>Tile</t>
        </is>
      </c>
      <c r="E15" s="10" t="inlineStr">
        <is>
          <t>Share of users who completed EDRMS training</t>
        </is>
      </c>
      <c r="F15" s="10" t="inlineStr">
        <is>
          <t>No source</t>
        </is>
      </c>
      <c r="G15" s="10" t="inlineStr">
        <is>
          <t>None</t>
        </is>
      </c>
      <c r="H15" s="10" t="inlineStr">
        <is>
          <t>No column exists</t>
        </is>
      </c>
      <c r="I15" s="10" t="inlineStr">
        <is>
          <t>Would come from an HR or LMS extract joined on UPN</t>
        </is>
      </c>
      <c r="J15" s="10" t="inlineStr">
        <is>
          <t>No</t>
        </is>
      </c>
      <c r="K15" s="10" t="inlineStr">
        <is>
          <t>No</t>
        </is>
      </c>
      <c r="L15" s="10" t="inlineStr">
        <is>
          <t>No. Nothing in the tenant holds this</t>
        </is>
      </c>
      <c r="M15" s="10" t="inlineStr">
        <is>
          <t>Blocked</t>
        </is>
      </c>
      <c r="N15" s="14" t="inlineStr">
        <is>
          <t>Needs reference list</t>
        </is>
      </c>
      <c r="O15" s="10" t="inlineStr">
        <is>
          <t>Ask which system owns staff, contractor and consultant classification and training completion. The client asks the same question on their own slide 54. Why: nothing in SharePoint holds it</t>
        </is>
      </c>
    </row>
    <row r="16">
      <c r="A16" s="9" t="n">
        <v>12</v>
      </c>
      <c r="B16" s="10" t="inlineStr">
        <is>
          <t>Users drill</t>
        </is>
      </c>
      <c r="C16" s="10" t="inlineStr">
        <is>
          <t>By department</t>
        </is>
      </c>
      <c r="D16" s="10" t="inlineStr">
        <is>
          <t>Table column</t>
        </is>
      </c>
      <c r="E16" s="10" t="inlineStr">
        <is>
          <t>Every user figure cut by department</t>
        </is>
      </c>
      <c r="F16" s="10" t="inlineStr">
        <is>
          <t>No source</t>
        </is>
      </c>
      <c r="G16" s="10" t="inlineStr">
        <is>
          <t>2 Site Activity to 3 User Activity</t>
        </is>
      </c>
      <c r="H16" s="10" t="inlineStr">
        <is>
          <t>ADBDepartmentOwner</t>
        </is>
      </c>
      <c r="I16" s="10" t="inlineStr">
        <is>
          <t>JOIN on site, then GROUP BY ADBDepartmentOwner</t>
        </is>
      </c>
      <c r="J16" s="10" t="inlineStr">
        <is>
          <t>Column exists, unpopulated</t>
        </is>
      </c>
      <c r="K16" s="10" t="inlineStr">
        <is>
          <t>No</t>
        </is>
      </c>
      <c r="L16" s="10" t="inlineStr">
        <is>
          <t>Not until the department list exists. The measure itself is testable bank-wide today</t>
        </is>
      </c>
      <c r="M16" s="10" t="inlineStr">
        <is>
          <t>Easy</t>
        </is>
      </c>
      <c r="N16" s="12" t="inlineStr">
        <is>
          <t>Needs department list</t>
        </is>
      </c>
      <c r="O16" s="10" t="inlineStr">
        <is>
          <t>Ask RAC for the site to department list, roughly 1,057 rows, one department per site URL. Check AvePoint Cloud Governance first, it may already hold it from the site request. Why: this single list unlocks every departmental figure in the report</t>
        </is>
      </c>
    </row>
    <row r="17">
      <c r="A17" s="9" t="n">
        <v>13</v>
      </c>
      <c r="B17" s="10" t="inlineStr">
        <is>
          <t>Documents drill</t>
        </is>
      </c>
      <c r="C17" s="10" t="inlineStr">
        <is>
          <t>Documents, Storage</t>
        </is>
      </c>
      <c r="D17" s="10" t="inlineStr">
        <is>
          <t>Table column</t>
        </is>
      </c>
      <c r="E17" s="10" t="inlineStr">
        <is>
          <t>Documents held and the space they use</t>
        </is>
      </c>
      <c r="F17" s="10" t="inlineStr">
        <is>
          <t>EDRMS database plus Microsoft Graph</t>
        </is>
      </c>
      <c r="G17" s="10" t="inlineStr">
        <is>
          <t>1 Utilization Report</t>
        </is>
      </c>
      <c r="H17" s="10" t="inlineStr">
        <is>
          <t>FileCreatedDate, FileSize</t>
        </is>
      </c>
      <c r="I17" s="10" t="inlineStr">
        <is>
          <t>COUNT(*) and SUM(FileSize)/1024^3 for GB, grouped by department</t>
        </is>
      </c>
      <c r="J17" s="10" t="inlineStr">
        <is>
          <t>Yes, FileSize is a new key</t>
        </is>
      </c>
      <c r="K17" s="10" t="inlineStr">
        <is>
          <t>Partly</t>
        </is>
      </c>
      <c r="L17" s="10" t="inlineStr">
        <is>
          <t>Yes. Graph Explorer, aka.ms/ge, with the call in the formula column: GET /sites/{id}/drive/items, the size field</t>
        </is>
      </c>
      <c r="M17" s="10" t="inlineStr">
        <is>
          <t>Medium</t>
        </is>
      </c>
      <c r="N17" s="12" t="inlineStr">
        <is>
          <t>Needs department list</t>
        </is>
      </c>
      <c r="O17" s="10" t="inlineStr">
        <is>
          <t>None, but note that a folder returns a cumulative size, so the scan must filter to files only</t>
        </is>
      </c>
    </row>
    <row r="18">
      <c r="A18" s="9" t="n">
        <v>14</v>
      </c>
      <c r="B18" s="10" t="inlineStr">
        <is>
          <t>Documents drill</t>
        </is>
      </c>
      <c r="C18" s="10" t="inlineStr">
        <is>
          <t>Users creating documents</t>
        </is>
      </c>
      <c r="D18" s="10" t="inlineStr">
        <is>
          <t>Table column</t>
        </is>
      </c>
      <c r="E18" s="10" t="inlineStr">
        <is>
          <t>Distinct authors of documents</t>
        </is>
      </c>
      <c r="F18" s="10" t="inlineStr">
        <is>
          <t>No source</t>
        </is>
      </c>
      <c r="G18" s="10" t="inlineStr">
        <is>
          <t>1 Utilization Report</t>
        </is>
      </c>
      <c r="H18" s="10" t="inlineStr">
        <is>
          <t>CreatedBy covers declarers only</t>
        </is>
      </c>
      <c r="I18" s="10" t="inlineStr">
        <is>
          <t>Would be COUNT(DISTINCT Author). The scan does not capture Author today</t>
        </is>
      </c>
      <c r="J18" s="10" t="inlineStr">
        <is>
          <t>Partly</t>
        </is>
      </c>
      <c r="K18" s="10" t="inlineStr">
        <is>
          <t>No</t>
        </is>
      </c>
      <c r="L18" s="10" t="inlineStr">
        <is>
          <t>No. We hold who declared a record, not who authored an undeclared document</t>
        </is>
      </c>
      <c r="M18" s="10" t="inlineStr">
        <is>
          <t>Medium</t>
        </is>
      </c>
      <c r="N18" s="15" t="inlineStr">
        <is>
          <t>Needs new column or join</t>
        </is>
      </c>
      <c r="O18" s="10" t="inlineStr">
        <is>
          <t>Ask the development team to capture Author on the document scan. Why: without it, creation activity can only be measured for records, not for documents</t>
        </is>
      </c>
    </row>
    <row r="19">
      <c r="A19" s="9" t="n">
        <v>15</v>
      </c>
      <c r="B19" s="10" t="inlineStr">
        <is>
          <t>Records drill</t>
        </is>
      </c>
      <c r="C19" s="10" t="inlineStr">
        <is>
          <t>Records declared, Users declaring, Declaration rate</t>
        </is>
      </c>
      <c r="D19" s="10" t="inlineStr">
        <is>
          <t>Table column</t>
        </is>
      </c>
      <c r="E19" s="10" t="inlineStr">
        <is>
          <t>Declaration volume and coverage per department</t>
        </is>
      </c>
      <c r="F19" s="10" t="inlineStr">
        <is>
          <t>EDRMS database</t>
        </is>
      </c>
      <c r="G19" s="10" t="inlineStr">
        <is>
          <t>1 Utilization Report</t>
        </is>
      </c>
      <c r="H19" s="10" t="inlineStr">
        <is>
          <t>IsDeclaredRecord, CreatedBy, ADBDepartmentOwner</t>
        </is>
      </c>
      <c r="I19" s="10" t="inlineStr">
        <is>
          <t>Rate = COUNT(IsDeclaredRecord = true) / COUNT(*), grouped by ADBDepartmentOwner</t>
        </is>
      </c>
      <c r="J19" s="10" t="inlineStr">
        <is>
          <t>Yes</t>
        </is>
      </c>
      <c r="K19" s="10" t="inlineStr">
        <is>
          <t>Partly</t>
        </is>
      </c>
      <c r="L19" s="10" t="inlineStr">
        <is>
          <t>Not until the department list exists. The measure itself is testable bank-wide today</t>
        </is>
      </c>
      <c r="M19" s="10" t="inlineStr">
        <is>
          <t>Easy</t>
        </is>
      </c>
      <c r="N19" s="12" t="inlineStr">
        <is>
          <t>Needs department list</t>
        </is>
      </c>
      <c r="O19" s="10" t="inlineStr">
        <is>
          <t>Ask RAC for the site to department list, roughly 1,057 rows, one department per site URL. Check AvePoint Cloud Governance first, it may already hold it from the site request. Why: this single list unlocks every departmental figure in the report</t>
        </is>
      </c>
    </row>
    <row r="20">
      <c r="A20" s="9" t="n">
        <v>16</v>
      </c>
      <c r="B20" s="10" t="inlineStr">
        <is>
          <t>Records drill</t>
        </is>
      </c>
      <c r="C20" s="10" t="inlineStr">
        <is>
          <t>By division</t>
        </is>
      </c>
      <c r="D20" s="10" t="inlineStr">
        <is>
          <t>Drill tier</t>
        </is>
      </c>
      <c r="E20" s="10" t="inlineStr">
        <is>
          <t>The same figures one level below department</t>
        </is>
      </c>
      <c r="F20" s="10" t="inlineStr">
        <is>
          <t>No source</t>
        </is>
      </c>
      <c r="G20" s="10" t="inlineStr">
        <is>
          <t>1 Utilization Report and 2 Site Activity</t>
        </is>
      </c>
      <c r="H20" s="10" t="inlineStr">
        <is>
          <t>No division column exists</t>
        </is>
      </c>
      <c r="I20" s="10" t="inlineStr">
        <is>
          <t>Would be GROUP BY a division carried alongside department</t>
        </is>
      </c>
      <c r="J20" s="10" t="inlineStr">
        <is>
          <t>No, removed 10 Aug and rebuilt as layout 13 Aug</t>
        </is>
      </c>
      <c r="K20" s="10" t="inlineStr">
        <is>
          <t>No</t>
        </is>
      </c>
      <c r="L20" s="10" t="inlineStr">
        <is>
          <t>No. Nothing in the tenant holds this</t>
        </is>
      </c>
      <c r="M20" s="10" t="inlineStr">
        <is>
          <t>Easy once supplied</t>
        </is>
      </c>
      <c r="N20" s="13" t="inlineStr">
        <is>
          <t>Needs new data source</t>
        </is>
      </c>
      <c r="O20" s="10" t="inlineStr">
        <is>
          <t>Ask who supplies division alongside department. Why: the tier was reinstated at the client's request but nothing in the tenant populates it, so the RAC list has to carry a division column too</t>
        </is>
      </c>
    </row>
    <row r="21">
      <c r="A21" s="9" t="n">
        <v>17</v>
      </c>
      <c r="B21" s="10" t="inlineStr">
        <is>
          <t>Counterparts drill</t>
        </is>
      </c>
      <c r="C21" s="10" t="inlineStr">
        <is>
          <t>Physical counterparts by department</t>
        </is>
      </c>
      <c r="D21" s="10" t="inlineStr">
        <is>
          <t>Table column</t>
        </is>
      </c>
      <c r="E21" s="10" t="inlineStr">
        <is>
          <t>Records flagged as having a paper copy</t>
        </is>
      </c>
      <c r="F21" s="10" t="inlineStr">
        <is>
          <t>EDRMS database</t>
        </is>
      </c>
      <c r="G21" s="10" t="inlineStr">
        <is>
          <t>1 Utilization Report</t>
        </is>
      </c>
      <c r="H21" s="10" t="inlineStr">
        <is>
          <t>HasPhysical, ADBDepartmentOwner</t>
        </is>
      </c>
      <c r="I21" s="10" t="inlineStr">
        <is>
          <t>COUNT(*) WHERE HasPhysical, grouped by department</t>
        </is>
      </c>
      <c r="J21" s="10" t="inlineStr">
        <is>
          <t>Yes</t>
        </is>
      </c>
      <c r="K21" s="10" t="inlineStr">
        <is>
          <t>Partly</t>
        </is>
      </c>
      <c r="L21" s="10" t="inlineStr">
        <is>
          <t>Not until the department list exists. The measure itself is testable bank-wide today</t>
        </is>
      </c>
      <c r="M21" s="10" t="inlineStr">
        <is>
          <t>Easy</t>
        </is>
      </c>
      <c r="N21" s="12" t="inlineStr">
        <is>
          <t>Needs department list</t>
        </is>
      </c>
      <c r="O21" s="10" t="inlineStr">
        <is>
          <t>Ask RAC for the site to department list, roughly 1,057 rows, one department per site URL. Check AvePoint Cloud Governance first, it may already hold it from the site request. Why: this single list unlocks every departmental figure in the report</t>
        </is>
      </c>
    </row>
    <row r="22">
      <c r="A22" s="9" t="n">
        <v>18</v>
      </c>
      <c r="B22" s="10" t="inlineStr">
        <is>
          <t>Counterparts drill</t>
        </is>
      </c>
      <c r="C22" s="10" t="inlineStr">
        <is>
          <t>Turned over to RAC, Completion rate</t>
        </is>
      </c>
      <c r="D22" s="10" t="inlineStr">
        <is>
          <t>Table column</t>
        </is>
      </c>
      <c r="E22" s="10" t="inlineStr">
        <is>
          <t>Counterparts physically transferred to RAC</t>
        </is>
      </c>
      <c r="F22" s="10" t="inlineStr">
        <is>
          <t>No source</t>
        </is>
      </c>
      <c r="G22" s="10" t="inlineStr">
        <is>
          <t>None</t>
        </is>
      </c>
      <c r="H22" s="10" t="inlineStr">
        <is>
          <t>No column exists</t>
        </is>
      </c>
      <c r="I22" s="10" t="inlineStr">
        <is>
          <t>Would be transferred / flagged as having a counterpart</t>
        </is>
      </c>
      <c r="J22" s="10" t="inlineStr">
        <is>
          <t>No</t>
        </is>
      </c>
      <c r="K22" s="10" t="inlineStr">
        <is>
          <t>No</t>
        </is>
      </c>
      <c r="L22" s="10" t="inlineStr">
        <is>
          <t>No. Nothing in the tenant holds this</t>
        </is>
      </c>
      <c r="M22" s="10" t="inlineStr">
        <is>
          <t>Blocked</t>
        </is>
      </c>
      <c r="N22" s="13" t="inlineStr">
        <is>
          <t>Needs new data source</t>
        </is>
      </c>
      <c r="O22"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23">
      <c r="A23" s="9" t="n">
        <v>19</v>
      </c>
      <c r="B23" s="10" t="inlineStr">
        <is>
          <t>Disposal drill</t>
        </is>
      </c>
      <c r="C23" s="10" t="inlineStr">
        <is>
          <t>Records due, Next due date</t>
        </is>
      </c>
      <c r="D23" s="10" t="inlineStr">
        <is>
          <t>Table column</t>
        </is>
      </c>
      <c r="E23" s="10" t="inlineStr">
        <is>
          <t>What falls due and when</t>
        </is>
      </c>
      <c r="F23" s="10" t="inlineStr">
        <is>
          <t>EDRMS database</t>
        </is>
      </c>
      <c r="G23" s="10" t="inlineStr">
        <is>
          <t>1 Utilization Report</t>
        </is>
      </c>
      <c r="H23" s="10" t="inlineStr">
        <is>
          <t>EDRMSDueDateForDisposal</t>
        </is>
      </c>
      <c r="I23" s="10" t="inlineStr">
        <is>
          <t>COUNT and MIN over the due date, grouped by department</t>
        </is>
      </c>
      <c r="J23" s="10" t="inlineStr">
        <is>
          <t>Yes</t>
        </is>
      </c>
      <c r="K23" s="10" t="inlineStr">
        <is>
          <t>Yes</t>
        </is>
      </c>
      <c r="L23" s="10" t="inlineStr">
        <is>
          <t>Yes. Query the due date column directly</t>
        </is>
      </c>
      <c r="M23" s="10" t="inlineStr">
        <is>
          <t>Easy</t>
        </is>
      </c>
      <c r="N23" s="12" t="inlineStr">
        <is>
          <t>Needs department list</t>
        </is>
      </c>
      <c r="O23" s="10" t="inlineStr">
        <is>
          <t>Ask RAC for the site to department list, roughly 1,057 rows, one department per site URL. Check AvePoint Cloud Governance first, it may already hold it from the site request. Why: this single list unlocks every departmental figure in the report</t>
        </is>
      </c>
    </row>
    <row r="24">
      <c r="A24" s="9" t="n">
        <v>20</v>
      </c>
      <c r="B24" s="10" t="inlineStr">
        <is>
          <t>Disposal drill</t>
        </is>
      </c>
      <c r="C24" s="10" t="inlineStr">
        <is>
          <t>Approver, Status, Records disposed</t>
        </is>
      </c>
      <c r="D24" s="10" t="inlineStr">
        <is>
          <t>Table column</t>
        </is>
      </c>
      <c r="E24" s="10" t="inlineStr">
        <is>
          <t>Who approves a disposal and what happened</t>
        </is>
      </c>
      <c r="F24" s="10" t="inlineStr">
        <is>
          <t>No source</t>
        </is>
      </c>
      <c r="G24" s="10" t="inlineStr">
        <is>
          <t>1 Utilization Report</t>
        </is>
      </c>
      <c r="H24" s="10" t="inlineStr">
        <is>
          <t>DisposalStatus was removed from the design</t>
        </is>
      </c>
      <c r="I24" s="10" t="inlineStr">
        <is>
          <t>Would be GROUP BY status. Nothing records that a disposal occurred</t>
        </is>
      </c>
      <c r="J24" s="10" t="inlineStr">
        <is>
          <t>No, deliberately</t>
        </is>
      </c>
      <c r="K24" s="10" t="inlineStr">
        <is>
          <t>No</t>
        </is>
      </c>
      <c r="L24" s="10" t="inlineStr">
        <is>
          <t>No. Nothing in the tenant holds this</t>
        </is>
      </c>
      <c r="M24" s="10" t="inlineStr">
        <is>
          <t>Blocked</t>
        </is>
      </c>
      <c r="N24" s="16" t="inlineStr">
        <is>
          <t>Needs application change</t>
        </is>
      </c>
      <c r="O24" s="10" t="inlineStr">
        <is>
          <t>Raise a change request for a disposal status field: status, approver, and date disposed. Why: nothing records that a disposal happened, so every completion figure is unanswerable</t>
        </is>
      </c>
    </row>
    <row r="25">
      <c r="A25" s="9" t="n">
        <v>21</v>
      </c>
      <c r="B25" s="10" t="inlineStr">
        <is>
          <t>Overview of sites</t>
        </is>
      </c>
      <c r="C25" s="10" t="inlineStr">
        <is>
          <t>Department table</t>
        </is>
      </c>
      <c r="D25" s="10" t="inlineStr">
        <is>
          <t>Table</t>
        </is>
      </c>
      <c r="E25" s="10" t="inlineStr">
        <is>
          <t>Sites, documents, records and counterparts for every department</t>
        </is>
      </c>
      <c r="F25" s="10" t="inlineStr">
        <is>
          <t>EDRMS database plus M365 usage report</t>
        </is>
      </c>
      <c r="G25" s="10" t="inlineStr">
        <is>
          <t>1 Utilization Report and 2 Site Activity</t>
        </is>
      </c>
      <c r="H25" s="10" t="inlineStr">
        <is>
          <t>ADBDepartmentOwner and the measures above</t>
        </is>
      </c>
      <c r="I25" s="10" t="inlineStr">
        <is>
          <t>GROUP BY ADBDepartmentOwner over both tables, joined on SiteUrl</t>
        </is>
      </c>
      <c r="J25" s="10" t="inlineStr">
        <is>
          <t>Yes</t>
        </is>
      </c>
      <c r="K25" s="10" t="inlineStr">
        <is>
          <t>Partly</t>
        </is>
      </c>
      <c r="L25" s="10" t="inlineStr">
        <is>
          <t>Not until the department list exists. The measure itself is testable bank-wide today</t>
        </is>
      </c>
      <c r="M25" s="10" t="inlineStr">
        <is>
          <t>Medium</t>
        </is>
      </c>
      <c r="N25" s="12" t="inlineStr">
        <is>
          <t>Needs department list</t>
        </is>
      </c>
      <c r="O25" s="10" t="inlineStr">
        <is>
          <t>Ask RAC for the site to department list, roughly 1,057 rows, one department per site URL. Check AvePoint Cloud Governance first, it may already hold it from the site request. Why: this single list unlocks every departmental figure in the report</t>
        </is>
      </c>
    </row>
    <row r="26">
      <c r="A26" s="9" t="n">
        <v>22</v>
      </c>
      <c r="B26" s="10" t="inlineStr">
        <is>
          <t>Overview of sites</t>
        </is>
      </c>
      <c r="C26" s="10" t="inlineStr">
        <is>
          <t>Department treemap</t>
        </is>
      </c>
      <c r="D26" s="10" t="inlineStr">
        <is>
          <t>Chart</t>
        </is>
      </c>
      <c r="E26" s="10" t="inlineStr">
        <is>
          <t>Departments sized by records declared</t>
        </is>
      </c>
      <c r="F26" s="10" t="inlineStr">
        <is>
          <t>EDRMS database</t>
        </is>
      </c>
      <c r="G26" s="10" t="inlineStr">
        <is>
          <t>1 Utilization Report</t>
        </is>
      </c>
      <c r="H26" s="10" t="inlineStr">
        <is>
          <t>IsDeclaredRecord, ADBDepartmentOwner</t>
        </is>
      </c>
      <c r="I26" s="10" t="inlineStr">
        <is>
          <t>Same query as the table, rendered as a treemap</t>
        </is>
      </c>
      <c r="J26" s="10" t="inlineStr">
        <is>
          <t>Yes</t>
        </is>
      </c>
      <c r="K26" s="10" t="inlineStr">
        <is>
          <t>Partly</t>
        </is>
      </c>
      <c r="L26" s="10" t="inlineStr">
        <is>
          <t>Not until the department list exists. The measure itself is testable bank-wide today</t>
        </is>
      </c>
      <c r="M26" s="10" t="inlineStr">
        <is>
          <t>Easy</t>
        </is>
      </c>
      <c r="N26" s="12" t="inlineStr">
        <is>
          <t>Needs department list</t>
        </is>
      </c>
      <c r="O26" s="10" t="inlineStr">
        <is>
          <t>Ask RAC for the site to department list, roughly 1,057 rows, one department per site URL. Check AvePoint Cloud Governance first, it may already hold it from the site request. Why: this single list unlocks every departmental figure in the report</t>
        </is>
      </c>
    </row>
    <row r="27">
      <c r="A27" s="9" t="n">
        <v>23</v>
      </c>
      <c r="B27" s="10" t="inlineStr">
        <is>
          <t>Overview of sites</t>
        </is>
      </c>
      <c r="C27" s="10" t="inlineStr">
        <is>
          <t>Sites created, last 90 days</t>
        </is>
      </c>
      <c r="D27" s="10" t="inlineStr">
        <is>
          <t>Tile</t>
        </is>
      </c>
      <c r="E27" s="10" t="inlineStr">
        <is>
          <t>New compliant sites in the period</t>
        </is>
      </c>
      <c r="F27" s="10" t="inlineStr">
        <is>
          <t>Microsoft Graph</t>
        </is>
      </c>
      <c r="G27" s="10" t="inlineStr">
        <is>
          <t>2 Site Activity</t>
        </is>
      </c>
      <c r="H27" s="10" t="inlineStr">
        <is>
          <t>SiteCreatedDate</t>
        </is>
      </c>
      <c r="I27" s="10" t="inlineStr">
        <is>
          <t>COUNT(*) WHERE SiteCreatedDate &gt;= today - 90</t>
        </is>
      </c>
      <c r="J27" s="10" t="inlineStr">
        <is>
          <t>Yes</t>
        </is>
      </c>
      <c r="K27" s="10" t="inlineStr">
        <is>
          <t>Yes</t>
        </is>
      </c>
      <c r="L27" s="10" t="inlineStr">
        <is>
          <t>Yes. Graph Explorer, aka.ms/ge, with the call in the formula column: GET /sites?search=*&amp;$select=createdDateTime</t>
        </is>
      </c>
      <c r="M27" s="10" t="inlineStr">
        <is>
          <t>Easy</t>
        </is>
      </c>
      <c r="N27" s="11" t="inlineStr">
        <is>
          <t>Buildable now</t>
        </is>
      </c>
      <c r="O27" s="10" t="inlineStr"/>
    </row>
    <row r="28">
      <c r="A28" s="9" t="n">
        <v>24</v>
      </c>
      <c r="B28" s="10" t="inlineStr">
        <is>
          <t>Overview of sites</t>
        </is>
      </c>
      <c r="C28" s="10" t="inlineStr">
        <is>
          <t>Inactive over 90 days</t>
        </is>
      </c>
      <c r="D28" s="10" t="inlineStr">
        <is>
          <t>Tile</t>
        </is>
      </c>
      <c r="E28" s="10" t="inlineStr">
        <is>
          <t>Sites with no activity since the threshold</t>
        </is>
      </c>
      <c r="F28" s="10" t="inlineStr">
        <is>
          <t>M365 usage report</t>
        </is>
      </c>
      <c r="G28" s="10" t="inlineStr">
        <is>
          <t>2 Site Activity</t>
        </is>
      </c>
      <c r="H28" s="10" t="inlineStr">
        <is>
          <t>LastActivityDate</t>
        </is>
      </c>
      <c r="I28" s="10" t="inlineStr">
        <is>
          <t>COUNT(*) WHERE LastActivityDate &lt; today - 90. Threshold is not stored</t>
        </is>
      </c>
      <c r="J28" s="10" t="inlineStr">
        <is>
          <t>Yes</t>
        </is>
      </c>
      <c r="K28" s="10" t="inlineStr">
        <is>
          <t>Yes</t>
        </is>
      </c>
      <c r="L28" s="10" t="inlineStr">
        <is>
          <t>Yes. Export the SharePoint site usage report from admin.microsoft.com, Reports, Usage, SharePoint site usage. Populated on 381 of 1,918 live sites</t>
        </is>
      </c>
      <c r="M28" s="10" t="inlineStr">
        <is>
          <t>Easy</t>
        </is>
      </c>
      <c r="N28" s="11" t="inlineStr">
        <is>
          <t>Buildable now</t>
        </is>
      </c>
      <c r="O28" s="10" t="inlineStr">
        <is>
          <t>Ask whether an inactive site is 90 days or 300. The deck says 90, the metrics document says 300. Why: it changes every inactivity figure, and it is a one line change either way</t>
        </is>
      </c>
    </row>
    <row r="29">
      <c r="A29" s="9" t="n">
        <v>25</v>
      </c>
      <c r="B29" s="10" t="inlineStr">
        <is>
          <t>Overview of sites</t>
        </is>
      </c>
      <c r="C29" s="10" t="inlineStr">
        <is>
          <t>Sites deleted</t>
        </is>
      </c>
      <c r="D29" s="10" t="inlineStr">
        <is>
          <t>Tile</t>
        </is>
      </c>
      <c r="E29" s="10" t="inlineStr">
        <is>
          <t>Sites removed since the last snapshot</t>
        </is>
      </c>
      <c r="F29" s="10" t="inlineStr">
        <is>
          <t>M365 usage report</t>
        </is>
      </c>
      <c r="G29" s="10" t="inlineStr">
        <is>
          <t>2 Site Activity</t>
        </is>
      </c>
      <c r="H29" s="10" t="inlineStr">
        <is>
          <t>IsDeleted</t>
        </is>
      </c>
      <c r="I29" s="10" t="inlineStr">
        <is>
          <t>A site present last week and absent this week is the delete signal</t>
        </is>
      </c>
      <c r="J29" s="10" t="inlineStr">
        <is>
          <t>Yes, unpopulated</t>
        </is>
      </c>
      <c r="K29" s="10" t="inlineStr">
        <is>
          <t>Partly</t>
        </is>
      </c>
      <c r="L29" s="10" t="inlineStr">
        <is>
          <t>Partly. Needs two snapshots to compare, so it needs the job running weekly</t>
        </is>
      </c>
      <c r="M29" s="10" t="inlineStr">
        <is>
          <t>Medium</t>
        </is>
      </c>
      <c r="N29" s="15" t="inlineStr">
        <is>
          <t>Needs new column or join</t>
        </is>
      </c>
      <c r="O29" s="10" t="inlineStr">
        <is>
          <t>Confirm that a deleted site should be counted from its disappearance between two snapshots, rather than from a deletion event. Why: nothing raises an event to us, so absence is the only signal available, and it cannot distinguish a deletion from a permissions change that hides the site from the export</t>
        </is>
      </c>
    </row>
    <row r="30">
      <c r="A30" s="9" t="n">
        <v>26</v>
      </c>
      <c r="B30" s="10" t="inlineStr">
        <is>
          <t>Overview of sites</t>
        </is>
      </c>
      <c r="C30" s="10" t="inlineStr">
        <is>
          <t>Sites archived</t>
        </is>
      </c>
      <c r="D30" s="10" t="inlineStr">
        <is>
          <t>Tile</t>
        </is>
      </c>
      <c r="E30" s="10" t="inlineStr">
        <is>
          <t>Sites moved to an archived state</t>
        </is>
      </c>
      <c r="F30" s="10" t="inlineStr">
        <is>
          <t>No source</t>
        </is>
      </c>
      <c r="G30" s="10" t="inlineStr">
        <is>
          <t>2 Site Activity</t>
        </is>
      </c>
      <c r="H30" s="10" t="inlineStr">
        <is>
          <t>No column exists</t>
        </is>
      </c>
      <c r="I30" s="10" t="inlineStr">
        <is>
          <t>No rule exists to compute it</t>
        </is>
      </c>
      <c r="J30" s="10" t="inlineStr">
        <is>
          <t>No</t>
        </is>
      </c>
      <c r="K30" s="10" t="inlineStr">
        <is>
          <t>No</t>
        </is>
      </c>
      <c r="L30" s="10" t="inlineStr">
        <is>
          <t>No. Nothing in the tenant holds this</t>
        </is>
      </c>
      <c r="M30" s="10" t="inlineStr">
        <is>
          <t>Blocked</t>
        </is>
      </c>
      <c r="N30" s="17" t="inlineStr">
        <is>
          <t>Decision needed</t>
        </is>
      </c>
      <c r="O30" s="10" t="inlineStr">
        <is>
          <t>Ask what archived means for a site, and how it is marked. Why: there is no definition anywhere, so the figure cannot be counted</t>
        </is>
      </c>
    </row>
    <row r="31">
      <c r="A31" s="9" t="n">
        <v>27</v>
      </c>
      <c r="B31" s="10" t="inlineStr">
        <is>
          <t>Comparison</t>
        </is>
      </c>
      <c r="C31" s="10" t="inlineStr">
        <is>
          <t>Users against documents, users against records, documents against records</t>
        </is>
      </c>
      <c r="D31" s="10" t="inlineStr">
        <is>
          <t>Chart</t>
        </is>
      </c>
      <c r="E31" s="10" t="inlineStr">
        <is>
          <t>Three ratios per department</t>
        </is>
      </c>
      <c r="F31" s="10" t="inlineStr">
        <is>
          <t>EDRMS database plus M365 usage report</t>
        </is>
      </c>
      <c r="G31" s="10" t="inlineStr">
        <is>
          <t>1 Utilization Report and 3 User Activity</t>
        </is>
      </c>
      <c r="H31" s="10" t="inlineStr">
        <is>
          <t>UserPrincipalName, IsDeclaredRecord, all document rows</t>
        </is>
      </c>
      <c r="I31" s="10" t="inlineStr">
        <is>
          <t>Two measures per department drawn side by side. The third pair is the declaration rate</t>
        </is>
      </c>
      <c r="J31" s="10" t="inlineStr">
        <is>
          <t>Yes</t>
        </is>
      </c>
      <c r="K31" s="10" t="inlineStr">
        <is>
          <t>Partly</t>
        </is>
      </c>
      <c r="L31" s="10" t="inlineStr">
        <is>
          <t>Not until the department list exists. The measure itself is testable bank-wide today</t>
        </is>
      </c>
      <c r="M31" s="10" t="inlineStr">
        <is>
          <t>Easy</t>
        </is>
      </c>
      <c r="N31" s="12" t="inlineStr">
        <is>
          <t>Needs department list</t>
        </is>
      </c>
      <c r="O31" s="10" t="inlineStr">
        <is>
          <t>Ask RAC for the site to department list, roughly 1,057 rows, one department per site URL. Check AvePoint Cloud Governance first, it may already hold it from the site request. Why: this single list unlocks every departmental figure in the report</t>
        </is>
      </c>
    </row>
    <row r="32">
      <c r="A32" s="9" t="n">
        <v>28</v>
      </c>
      <c r="B32" s="10" t="inlineStr">
        <is>
          <t>Declaration trend</t>
        </is>
      </c>
      <c r="C32" s="10" t="inlineStr">
        <is>
          <t>Records declared by month</t>
        </is>
      </c>
      <c r="D32" s="10" t="inlineStr">
        <is>
          <t>Chart</t>
        </is>
      </c>
      <c r="E32" s="10" t="inlineStr">
        <is>
          <t>Declarations in each of the last 12 months</t>
        </is>
      </c>
      <c r="F32" s="10" t="inlineStr">
        <is>
          <t>EDRMS database</t>
        </is>
      </c>
      <c r="G32" s="10" t="inlineStr">
        <is>
          <t>1 Utilization Report</t>
        </is>
      </c>
      <c r="H32" s="10" t="inlineStr">
        <is>
          <t>CreatedDate, IsDeclaredRecord</t>
        </is>
      </c>
      <c r="I32" s="10" t="inlineStr">
        <is>
          <t>COUNT(*) GROUP BY month of CreatedDate, last 12 closed months</t>
        </is>
      </c>
      <c r="J32" s="10" t="inlineStr">
        <is>
          <t>Yes</t>
        </is>
      </c>
      <c r="K32" s="10" t="inlineStr">
        <is>
          <t>Yes</t>
        </is>
      </c>
      <c r="L32" s="10" t="inlineStr">
        <is>
          <t>Yes. Query public."Records" in drm-npr and count rows. About 1,990 in UAT, grouped by month of CreatedDate</t>
        </is>
      </c>
      <c r="M32" s="10" t="inlineStr">
        <is>
          <t>Easy</t>
        </is>
      </c>
      <c r="N32" s="11" t="inlineStr">
        <is>
          <t>Buildable now</t>
        </is>
      </c>
      <c r="O32" s="10" t="inlineStr"/>
    </row>
    <row r="33">
      <c r="A33" s="9" t="n">
        <v>29</v>
      </c>
      <c r="B33" s="10" t="inlineStr">
        <is>
          <t>Declaration trend</t>
        </is>
      </c>
      <c r="C33" s="10" t="inlineStr">
        <is>
          <t>Department filter</t>
        </is>
      </c>
      <c r="D33" s="10" t="inlineStr">
        <is>
          <t>Filter</t>
        </is>
      </c>
      <c r="E33" s="10" t="inlineStr">
        <is>
          <t>The same trend for one department</t>
        </is>
      </c>
      <c r="F33" s="10" t="inlineStr">
        <is>
          <t>EDRMS database</t>
        </is>
      </c>
      <c r="G33" s="10" t="inlineStr">
        <is>
          <t>1 Utilization Report</t>
        </is>
      </c>
      <c r="H33" s="10" t="inlineStr">
        <is>
          <t>ADBDepartmentOwner</t>
        </is>
      </c>
      <c r="I33" s="10" t="inlineStr">
        <is>
          <t>Add WHERE ADBDepartmentOwner = selection</t>
        </is>
      </c>
      <c r="J33" s="10" t="inlineStr">
        <is>
          <t>Column exists, unpopulated</t>
        </is>
      </c>
      <c r="K33" s="10" t="inlineStr">
        <is>
          <t>No</t>
        </is>
      </c>
      <c r="L33" s="10" t="inlineStr">
        <is>
          <t>Not until the department list exists. The measure itself is testable bank-wide today</t>
        </is>
      </c>
      <c r="M33" s="10" t="inlineStr">
        <is>
          <t>Easy</t>
        </is>
      </c>
      <c r="N33" s="12" t="inlineStr">
        <is>
          <t>Needs department list</t>
        </is>
      </c>
      <c r="O33" s="10" t="inlineStr">
        <is>
          <t>Ask RAC for the site to department list, roughly 1,057 rows, one department per site URL. Check AvePoint Cloud Governance first, it may already hold it from the site request. Why: this single list unlocks every departmental figure in the report</t>
        </is>
      </c>
    </row>
    <row r="34">
      <c r="A34" s="9" t="n">
        <v>30</v>
      </c>
      <c r="B34" s="10" t="inlineStr">
        <is>
          <t>Declaration trend</t>
        </is>
      </c>
      <c r="C34" s="10" t="inlineStr">
        <is>
          <t>Records declared this month, Monthly average</t>
        </is>
      </c>
      <c r="D34" s="10" t="inlineStr">
        <is>
          <t>Tile</t>
        </is>
      </c>
      <c r="E34" s="10" t="inlineStr">
        <is>
          <t>Current month against its 12 month average</t>
        </is>
      </c>
      <c r="F34" s="10" t="inlineStr">
        <is>
          <t>EDRMS database</t>
        </is>
      </c>
      <c r="G34" s="10" t="inlineStr">
        <is>
          <t>1 Utilization Report</t>
        </is>
      </c>
      <c r="H34" s="10" t="inlineStr">
        <is>
          <t>CreatedDate</t>
        </is>
      </c>
      <c r="I34" s="10" t="inlineStr">
        <is>
          <t>Latest month value, and total / 12</t>
        </is>
      </c>
      <c r="J34" s="10" t="inlineStr">
        <is>
          <t>Yes</t>
        </is>
      </c>
      <c r="K34" s="10" t="inlineStr">
        <is>
          <t>Yes</t>
        </is>
      </c>
      <c r="L34" s="10" t="inlineStr">
        <is>
          <t>Yes. Query public."Records" in drm-npr and count rows. About 1,990 in UAT</t>
        </is>
      </c>
      <c r="M34" s="10" t="inlineStr">
        <is>
          <t>Easy</t>
        </is>
      </c>
      <c r="N34" s="11" t="inlineStr">
        <is>
          <t>Buildable now</t>
        </is>
      </c>
      <c r="O34" s="10" t="inlineStr"/>
    </row>
    <row r="35">
      <c r="A35" s="9" t="n">
        <v>31</v>
      </c>
      <c r="B35" s="10" t="inlineStr">
        <is>
          <t>Declaration trend</t>
        </is>
      </c>
      <c r="C35" s="10" t="inlineStr">
        <is>
          <t>Records declared by year</t>
        </is>
      </c>
      <c r="D35" s="10" t="inlineStr">
        <is>
          <t>Chart</t>
        </is>
      </c>
      <c r="E35" s="10" t="inlineStr">
        <is>
          <t>Declarations per calendar year</t>
        </is>
      </c>
      <c r="F35" s="10" t="inlineStr">
        <is>
          <t>EDRMS database</t>
        </is>
      </c>
      <c r="G35" s="10" t="inlineStr">
        <is>
          <t>1 Utilization Report</t>
        </is>
      </c>
      <c r="H35" s="10" t="inlineStr">
        <is>
          <t>CreatedDate</t>
        </is>
      </c>
      <c r="I35" s="10" t="inlineStr">
        <is>
          <t>COUNT(*) GROUP BY year of CreatedDate</t>
        </is>
      </c>
      <c r="J35" s="10" t="inlineStr">
        <is>
          <t>Yes</t>
        </is>
      </c>
      <c r="K35" s="10" t="inlineStr">
        <is>
          <t>Yes</t>
        </is>
      </c>
      <c r="L35" s="10" t="inlineStr">
        <is>
          <t>Yes. Query public."Records" in drm-npr and count rows. About 1,990 in UAT, grouped by year</t>
        </is>
      </c>
      <c r="M35" s="10" t="inlineStr">
        <is>
          <t>Easy</t>
        </is>
      </c>
      <c r="N35" s="11" t="inlineStr">
        <is>
          <t>Buildable now</t>
        </is>
      </c>
      <c r="O35" s="10" t="inlineStr"/>
    </row>
    <row r="36">
      <c r="A36" s="9" t="n">
        <v>32</v>
      </c>
      <c r="B36" s="10" t="inlineStr">
        <is>
          <t>Site activity trend</t>
        </is>
      </c>
      <c r="C36" s="10" t="inlineStr">
        <is>
          <t>Site visits by month</t>
        </is>
      </c>
      <c r="D36" s="10" t="inlineStr">
        <is>
          <t>Chart</t>
        </is>
      </c>
      <c r="E36" s="10" t="inlineStr">
        <is>
          <t>Page views across the estate each month</t>
        </is>
      </c>
      <c r="F36" s="10" t="inlineStr">
        <is>
          <t>M365 usage report</t>
        </is>
      </c>
      <c r="G36" s="10" t="inlineStr">
        <is>
          <t>2 Site Activity</t>
        </is>
      </c>
      <c r="H36" s="10" t="inlineStr">
        <is>
          <t>SiteVisits7, ReportRefreshDate</t>
        </is>
      </c>
      <c r="I36" s="10" t="inlineStr">
        <is>
          <t>SUM(SiteVisits7) over the snapshots in each month. NEVER sum the 30, 90 or 180 day columns: 7 day windows tile exactly, longer ones overlap</t>
        </is>
      </c>
      <c r="J36" s="10" t="inlineStr">
        <is>
          <t>Yes</t>
        </is>
      </c>
      <c r="K36" s="10" t="inlineStr">
        <is>
          <t>Partly</t>
        </is>
      </c>
      <c r="L36" s="10" t="inlineStr">
        <is>
          <t>Partly. One snapshot is testable today. A series needs the job running weekly, and history that was never captured cannot be recovered</t>
        </is>
      </c>
      <c r="M36" s="10" t="inlineStr">
        <is>
          <t>Medium</t>
        </is>
      </c>
      <c r="N36" s="11" t="inlineStr">
        <is>
          <t>Buildable now</t>
        </is>
      </c>
      <c r="O36" s="10" t="inlineStr">
        <is>
          <t>None. Confirm the job start date with the client, because the trend can only begin there</t>
        </is>
      </c>
    </row>
    <row r="37">
      <c r="A37" s="9" t="n">
        <v>33</v>
      </c>
      <c r="B37" s="10" t="inlineStr">
        <is>
          <t>Site activity trend</t>
        </is>
      </c>
      <c r="C37" s="10" t="inlineStr">
        <is>
          <t>Department and period filters</t>
        </is>
      </c>
      <c r="D37" s="10" t="inlineStr">
        <is>
          <t>Filter</t>
        </is>
      </c>
      <c r="E37" s="10" t="inlineStr">
        <is>
          <t>The series cut by department and window</t>
        </is>
      </c>
      <c r="F37" s="10" t="inlineStr">
        <is>
          <t>M365 usage report</t>
        </is>
      </c>
      <c r="G37" s="10" t="inlineStr">
        <is>
          <t>2 Site Activity</t>
        </is>
      </c>
      <c r="H37" s="10" t="inlineStr">
        <is>
          <t>ADBDepartmentOwner, ReportRefreshDate</t>
        </is>
      </c>
      <c r="I37" s="10" t="inlineStr">
        <is>
          <t>WHERE ADBDepartmentOwner = selection, and last N months on ReportRefreshDate</t>
        </is>
      </c>
      <c r="J37" s="10" t="inlineStr">
        <is>
          <t>Yes</t>
        </is>
      </c>
      <c r="K37" s="10" t="inlineStr">
        <is>
          <t>Partly</t>
        </is>
      </c>
      <c r="L37" s="10" t="inlineStr">
        <is>
          <t>Not until the department list exists. The measure itself is testable bank-wide today</t>
        </is>
      </c>
      <c r="M37" s="10" t="inlineStr">
        <is>
          <t>Easy</t>
        </is>
      </c>
      <c r="N37" s="12" t="inlineStr">
        <is>
          <t>Needs department list</t>
        </is>
      </c>
      <c r="O37" s="10" t="inlineStr">
        <is>
          <t>Ask RAC for the site to department list, roughly 1,057 rows, one department per site URL. Check AvePoint Cloud Governance first, it may already hold it from the site request. Why: this single list unlocks every departmental figure in the report</t>
        </is>
      </c>
    </row>
    <row r="38">
      <c r="A38" s="9" t="n">
        <v>34</v>
      </c>
      <c r="B38" s="10" t="inlineStr">
        <is>
          <t>Retention rollup</t>
        </is>
      </c>
      <c r="C38" s="10" t="inlineStr">
        <is>
          <t>Permanent and temporary split</t>
        </is>
      </c>
      <c r="D38" s="10" t="inlineStr">
        <is>
          <t>Chart and table</t>
        </is>
      </c>
      <c r="E38" s="10" t="inlineStr">
        <is>
          <t>How the holding divides by retention type</t>
        </is>
      </c>
      <c r="F38" s="10" t="inlineStr">
        <is>
          <t>EDRMS database</t>
        </is>
      </c>
      <c r="G38" s="10" t="inlineStr">
        <is>
          <t>1 Utilization Report</t>
        </is>
      </c>
      <c r="H38" s="10" t="inlineStr">
        <is>
          <t>EDRMSDuration, EDRMSRetentionLabel</t>
        </is>
      </c>
      <c r="I38" s="10" t="inlineStr">
        <is>
          <t>Permanent WHERE EDRMSDuration = 'Permanent', temporary otherwise. Duration is text, cast before arithmetic</t>
        </is>
      </c>
      <c r="J38" s="10" t="inlineStr">
        <is>
          <t>Yes</t>
        </is>
      </c>
      <c r="K38" s="10" t="inlineStr">
        <is>
          <t>Yes</t>
        </is>
      </c>
      <c r="L38" s="10" t="inlineStr">
        <is>
          <t>Yes. Query the retention label and duration columns</t>
        </is>
      </c>
      <c r="M38" s="10" t="inlineStr">
        <is>
          <t>Easy</t>
        </is>
      </c>
      <c r="N38" s="11" t="inlineStr">
        <is>
          <t>Buildable now</t>
        </is>
      </c>
      <c r="O38" s="10" t="inlineStr"/>
    </row>
    <row r="39">
      <c r="A39" s="9" t="n">
        <v>35</v>
      </c>
      <c r="B39" s="10" t="inlineStr">
        <is>
          <t>Retention rollup</t>
        </is>
      </c>
      <c r="C39" s="10" t="inlineStr">
        <is>
          <t>Departments and libraries provisioned per term</t>
        </is>
      </c>
      <c r="D39" s="10" t="inlineStr">
        <is>
          <t>Table column</t>
        </is>
      </c>
      <c r="E39" s="10" t="inlineStr">
        <is>
          <t>Reach of each retention term</t>
        </is>
      </c>
      <c r="F39" s="10" t="inlineStr">
        <is>
          <t>No source</t>
        </is>
      </c>
      <c r="G39" s="10" t="inlineStr">
        <is>
          <t>4 File Plan</t>
        </is>
      </c>
      <c r="H39" s="10" t="inlineStr">
        <is>
          <t>No join from a term to a library exists</t>
        </is>
      </c>
      <c r="I39" s="10" t="inlineStr">
        <is>
          <t>Would need a term reference on the document or library row</t>
        </is>
      </c>
      <c r="J39" s="10" t="inlineStr">
        <is>
          <t>No</t>
        </is>
      </c>
      <c r="K39" s="10" t="inlineStr">
        <is>
          <t>No</t>
        </is>
      </c>
      <c r="L39" s="10" t="inlineStr">
        <is>
          <t>No. Nothing in the tenant holds this</t>
        </is>
      </c>
      <c r="M39" s="10" t="inlineStr">
        <is>
          <t>Blocked</t>
        </is>
      </c>
      <c r="N39" s="15" t="inlineStr">
        <is>
          <t>Needs new column or join</t>
        </is>
      </c>
      <c r="O39" s="10" t="inlineStr">
        <is>
          <t>Ask the development team to add a term reference to the document row, or supply a term to library mapping list. Why: nothing links a term to a document, so no per term figure can be produced even once the file plan is located</t>
        </is>
      </c>
    </row>
    <row r="40">
      <c r="A40" s="9" t="n">
        <v>36</v>
      </c>
      <c r="B40" s="10" t="inlineStr">
        <is>
          <t>Retention rollup</t>
        </is>
      </c>
      <c r="C40" s="10" t="inlineStr">
        <is>
          <t>Disposed</t>
        </is>
      </c>
      <c r="D40" s="10" t="inlineStr">
        <is>
          <t>Table column</t>
        </is>
      </c>
      <c r="E40" s="10" t="inlineStr">
        <is>
          <t>Records actually disposed of</t>
        </is>
      </c>
      <c r="F40" s="10" t="inlineStr">
        <is>
          <t>No source</t>
        </is>
      </c>
      <c r="G40" s="10" t="inlineStr">
        <is>
          <t>1 Utilization Report</t>
        </is>
      </c>
      <c r="H40" s="10" t="inlineStr">
        <is>
          <t>No column exists</t>
        </is>
      </c>
      <c r="I40" s="10" t="inlineStr">
        <is>
          <t>Would be COUNT WHERE disposal completed</t>
        </is>
      </c>
      <c r="J40" s="10" t="inlineStr">
        <is>
          <t>No</t>
        </is>
      </c>
      <c r="K40" s="10" t="inlineStr">
        <is>
          <t>No</t>
        </is>
      </c>
      <c r="L40" s="10" t="inlineStr">
        <is>
          <t>No. Nothing in the tenant holds this</t>
        </is>
      </c>
      <c r="M40" s="10" t="inlineStr">
        <is>
          <t>Blocked</t>
        </is>
      </c>
      <c r="N40" s="16" t="inlineStr">
        <is>
          <t>Needs application change</t>
        </is>
      </c>
      <c r="O40" s="10" t="inlineStr">
        <is>
          <t>Raise a change request for a disposal status field: status, approver, and date disposed. Why: nothing records that a disposal happened, so every completion figure is unanswerable</t>
        </is>
      </c>
    </row>
    <row r="41">
      <c r="A41" s="9" t="n">
        <v>37</v>
      </c>
      <c r="B41" s="10" t="inlineStr">
        <is>
          <t>Format and storage</t>
        </is>
      </c>
      <c r="C41" s="10" t="inlineStr">
        <is>
          <t>Files and storage by format group</t>
        </is>
      </c>
      <c r="D41" s="10" t="inlineStr">
        <is>
          <t>Chart and table</t>
        </is>
      </c>
      <c r="E41" s="10" t="inlineStr">
        <is>
          <t>The eight format families</t>
        </is>
      </c>
      <c r="F41" s="10" t="inlineStr">
        <is>
          <t>EDRMS database plus Microsoft Graph</t>
        </is>
      </c>
      <c r="G41" s="10" t="inlineStr">
        <is>
          <t>1 Utilization Report</t>
        </is>
      </c>
      <c r="H41" s="10" t="inlineStr">
        <is>
          <t>FormatGroup, FileType, FileSize</t>
        </is>
      </c>
      <c r="I41" s="10" t="inlineStr">
        <is>
          <t>COUNT(*) and SUM(FileSize) GROUP BY FormatGroup. FormatGroup is derived from FileType by a mapping list</t>
        </is>
      </c>
      <c r="J41" s="10" t="inlineStr">
        <is>
          <t>Yes, mapping outstanding</t>
        </is>
      </c>
      <c r="K41" s="10" t="inlineStr">
        <is>
          <t>Partly</t>
        </is>
      </c>
      <c r="L41" s="10" t="inlineStr">
        <is>
          <t>Yes. Graph Explorer, aka.ms/ge, with the call in the formula column for size, the database for extension</t>
        </is>
      </c>
      <c r="M41" s="10" t="inlineStr">
        <is>
          <t>Medium</t>
        </is>
      </c>
      <c r="N41" s="17" t="inlineStr">
        <is>
          <t>Decision needed</t>
        </is>
      </c>
      <c r="O41" s="10" t="inlineStr">
        <is>
          <t>Ask RAC for the file extension to format group mapping, a short list. Why: without it every extension falls into All other formats</t>
        </is>
      </c>
    </row>
    <row r="42">
      <c r="A42" s="9" t="n">
        <v>38</v>
      </c>
      <c r="B42" s="10" t="inlineStr">
        <is>
          <t>Format and storage</t>
        </is>
      </c>
      <c r="C42" s="10" t="inlineStr">
        <is>
          <t>Average file size</t>
        </is>
      </c>
      <c r="D42" s="10" t="inlineStr">
        <is>
          <t>Table column</t>
        </is>
      </c>
      <c r="E42" s="10" t="inlineStr">
        <is>
          <t>Mean size within a format group</t>
        </is>
      </c>
      <c r="F42" s="10" t="inlineStr">
        <is>
          <t>Microsoft Graph</t>
        </is>
      </c>
      <c r="G42" s="10" t="inlineStr">
        <is>
          <t>1 Utilization Report</t>
        </is>
      </c>
      <c r="H42" s="10" t="inlineStr">
        <is>
          <t>FileSize</t>
        </is>
      </c>
      <c r="I42" s="10" t="inlineStr">
        <is>
          <t>SUM(FileSize) / COUNT(*), converted to MB</t>
        </is>
      </c>
      <c r="J42" s="10" t="inlineStr">
        <is>
          <t>Yes</t>
        </is>
      </c>
      <c r="K42" s="10" t="inlineStr">
        <is>
          <t>Partly</t>
        </is>
      </c>
      <c r="L42" s="10" t="inlineStr">
        <is>
          <t>Yes. Graph Explorer, aka.ms/ge, with the call in the formula column</t>
        </is>
      </c>
      <c r="M42" s="10" t="inlineStr">
        <is>
          <t>Easy</t>
        </is>
      </c>
      <c r="N42" s="11" t="inlineStr">
        <is>
          <t>Buildable now</t>
        </is>
      </c>
      <c r="O42" s="10" t="inlineStr"/>
    </row>
    <row r="43">
      <c r="A43" s="9" t="n">
        <v>39</v>
      </c>
      <c r="B43" s="10" t="inlineStr">
        <is>
          <t>Risk and compliance</t>
        </is>
      </c>
      <c r="C43" s="10" t="inlineStr">
        <is>
          <t>Compliant, active and inactive sites</t>
        </is>
      </c>
      <c r="D43" s="10" t="inlineStr">
        <is>
          <t>Tile and chart</t>
        </is>
      </c>
      <c r="E43" s="10" t="inlineStr">
        <is>
          <t>Site health across the estate</t>
        </is>
      </c>
      <c r="F43" s="10" t="inlineStr">
        <is>
          <t>M365 usage report</t>
        </is>
      </c>
      <c r="G43" s="10" t="inlineStr">
        <is>
          <t>2 Site Activity</t>
        </is>
      </c>
      <c r="H43" s="10" t="inlineStr">
        <is>
          <t>IsEdrmsCompliant, LastActivityDate</t>
        </is>
      </c>
      <c r="I43" s="10" t="inlineStr">
        <is>
          <t>COUNT over the compliance flag and the activity threshold</t>
        </is>
      </c>
      <c r="J43" s="10" t="inlineStr">
        <is>
          <t>Yes</t>
        </is>
      </c>
      <c r="K43" s="10" t="inlineStr">
        <is>
          <t>Partly</t>
        </is>
      </c>
      <c r="L43" s="10" t="inlineStr">
        <is>
          <t>Yes. Export the SharePoint site usage report from admin.microsoft.com, Reports, Usage, SharePoint site usage</t>
        </is>
      </c>
      <c r="M43" s="10" t="inlineStr">
        <is>
          <t>Easy</t>
        </is>
      </c>
      <c r="N43" s="17" t="inlineStr">
        <is>
          <t>Decision needed</t>
        </is>
      </c>
      <c r="O43" s="10" t="inlineStr">
        <is>
          <t>Ask Mihal Le which API returns the installed app list per site, for app {B255A2AF-7F63-4A30-966A-5D5FD99F97D7}. Why: it defines which sites are in the report at all. Also Ask whether an inactive site is 90 days or 300. The deck says 90, the metrics document says 300. Why: it changes every inactivity figure, and it is a one line change either way</t>
        </is>
      </c>
    </row>
    <row r="44">
      <c r="A44" s="9" t="n">
        <v>40</v>
      </c>
      <c r="B44" s="10" t="inlineStr">
        <is>
          <t>Risk and compliance</t>
        </is>
      </c>
      <c r="C44" s="10" t="inlineStr">
        <is>
          <t>Orphaned sites, no owner</t>
        </is>
      </c>
      <c r="D44" s="10" t="inlineStr">
        <is>
          <t>Tile</t>
        </is>
      </c>
      <c r="E44" s="10" t="inlineStr">
        <is>
          <t>Sites with no administrator</t>
        </is>
      </c>
      <c r="F44" s="10" t="inlineStr">
        <is>
          <t>M365 usage report</t>
        </is>
      </c>
      <c r="G44" s="10" t="inlineStr">
        <is>
          <t>2 Site Activity</t>
        </is>
      </c>
      <c r="H44" s="10" t="inlineStr">
        <is>
          <t>SiteOwner</t>
        </is>
      </c>
      <c r="I44" s="10" t="inlineStr">
        <is>
          <t>COUNT(*) WHERE SiteOwner IS NULL</t>
        </is>
      </c>
      <c r="J44" s="10" t="inlineStr">
        <is>
          <t>Yes</t>
        </is>
      </c>
      <c r="K44" s="10" t="inlineStr">
        <is>
          <t>Yes</t>
        </is>
      </c>
      <c r="L44" s="10" t="inlineStr">
        <is>
          <t>Yes. Export the SharePoint site usage report from admin.microsoft.com, Reports, Usage, SharePoint site usage. Verified: 19 of 1,918 live sites have no owner</t>
        </is>
      </c>
      <c r="M44" s="10" t="inlineStr">
        <is>
          <t>Easy</t>
        </is>
      </c>
      <c r="N44" s="11" t="inlineStr">
        <is>
          <t>Buildable now</t>
        </is>
      </c>
      <c r="O44" s="10" t="inlineStr"/>
    </row>
    <row r="45">
      <c r="A45" s="9" t="n">
        <v>41</v>
      </c>
      <c r="B45" s="10" t="inlineStr">
        <is>
          <t>Risk and compliance</t>
        </is>
      </c>
      <c r="C45" s="10" t="inlineStr">
        <is>
          <t>Libraries across sites, active, dormant</t>
        </is>
      </c>
      <c r="D45" s="10" t="inlineStr">
        <is>
          <t>Tile</t>
        </is>
      </c>
      <c r="E45" s="10" t="inlineStr">
        <is>
          <t>Library counts and their activity</t>
        </is>
      </c>
      <c r="F45" s="10" t="inlineStr">
        <is>
          <t>Microsoft Graph</t>
        </is>
      </c>
      <c r="G45" s="10" t="inlineStr">
        <is>
          <t>2 Site Activity and 1 Utilization Report</t>
        </is>
      </c>
      <c r="H45" s="10" t="inlineStr">
        <is>
          <t>LibraryCount, LibraryLastActivityDate</t>
        </is>
      </c>
      <c r="I45" s="10" t="inlineStr">
        <is>
          <t>SUM(LibraryCount). Active WHERE LibraryLastActivityDate &gt;= today - 90, dormant at 180</t>
        </is>
      </c>
      <c r="J45" s="10" t="inlineStr">
        <is>
          <t>Yes</t>
        </is>
      </c>
      <c r="K45" s="10" t="inlineStr">
        <is>
          <t>Yes</t>
        </is>
      </c>
      <c r="L45" s="10" t="inlineStr">
        <is>
          <t>Yes. Graph Explorer, aka.ms/ge, with the call in the formula column: GET /sites/{id}/drives, lastModifiedDateTime</t>
        </is>
      </c>
      <c r="M45" s="10" t="inlineStr">
        <is>
          <t>Easy</t>
        </is>
      </c>
      <c r="N45" s="11" t="inlineStr">
        <is>
          <t>Buildable now</t>
        </is>
      </c>
      <c r="O45" s="10" t="inlineStr"/>
    </row>
    <row r="46">
      <c r="A46" s="9" t="n">
        <v>42</v>
      </c>
      <c r="B46" s="10" t="inlineStr">
        <is>
          <t>Risk and compliance</t>
        </is>
      </c>
      <c r="C46" s="10" t="inlineStr">
        <is>
          <t>Libraries with no declared records</t>
        </is>
      </c>
      <c r="D46" s="10" t="inlineStr">
        <is>
          <t>Tile</t>
        </is>
      </c>
      <c r="E46" s="10" t="inlineStr">
        <is>
          <t>Provisioned but unused libraries</t>
        </is>
      </c>
      <c r="F46" s="10" t="inlineStr">
        <is>
          <t>EDRMS database plus Microsoft Graph</t>
        </is>
      </c>
      <c r="G46" s="10" t="inlineStr">
        <is>
          <t>1 Utilization Report</t>
        </is>
      </c>
      <c r="H46" s="10" t="inlineStr">
        <is>
          <t>ListId, IsDeclaredRecord</t>
        </is>
      </c>
      <c r="I46" s="10" t="inlineStr">
        <is>
          <t>Library list from Graph MINUS the distinct ListId values present in Records</t>
        </is>
      </c>
      <c r="J46" s="10" t="inlineStr">
        <is>
          <t>Yes</t>
        </is>
      </c>
      <c r="K46" s="10" t="inlineStr">
        <is>
          <t>Yes</t>
        </is>
      </c>
      <c r="L46" s="10" t="inlineStr">
        <is>
          <t>Yes. Compare the Graph drive list against distinct ListId in Records</t>
        </is>
      </c>
      <c r="M46" s="10" t="inlineStr">
        <is>
          <t>Easy</t>
        </is>
      </c>
      <c r="N46" s="11" t="inlineStr">
        <is>
          <t>Buildable now</t>
        </is>
      </c>
      <c r="O46" s="10" t="inlineStr"/>
    </row>
    <row r="47">
      <c r="A47" s="9" t="n">
        <v>43</v>
      </c>
      <c r="B47" s="10" t="inlineStr">
        <is>
          <t>Risk and compliance</t>
        </is>
      </c>
      <c r="C47" s="10" t="inlineStr">
        <is>
          <t>Library growth rate</t>
        </is>
      </c>
      <c r="D47" s="10" t="inlineStr">
        <is>
          <t>Tile</t>
        </is>
      </c>
      <c r="E47" s="10" t="inlineStr">
        <is>
          <t>New records against the opening balance</t>
        </is>
      </c>
      <c r="F47" s="10" t="inlineStr">
        <is>
          <t>EDRMS database</t>
        </is>
      </c>
      <c r="G47" s="10" t="inlineStr">
        <is>
          <t>1 Utilization Report</t>
        </is>
      </c>
      <c r="H47" s="10" t="inlineStr">
        <is>
          <t>CreatedDate, ListId</t>
        </is>
      </c>
      <c r="I47" s="10" t="inlineStr">
        <is>
          <t>Records created in the period / records held at the start of the period</t>
        </is>
      </c>
      <c r="J47" s="10" t="inlineStr">
        <is>
          <t>Yes</t>
        </is>
      </c>
      <c r="K47" s="10" t="inlineStr">
        <is>
          <t>Yes</t>
        </is>
      </c>
      <c r="L47" s="10" t="inlineStr">
        <is>
          <t>Yes. Query public."Records" in drm-npr and count rows. About 1,990 in UAT</t>
        </is>
      </c>
      <c r="M47" s="10" t="inlineStr">
        <is>
          <t>Easy</t>
        </is>
      </c>
      <c r="N47" s="11" t="inlineStr">
        <is>
          <t>Buildable now</t>
        </is>
      </c>
      <c r="O47" s="10" t="inlineStr"/>
    </row>
    <row r="48">
      <c r="A48" s="9" t="n">
        <v>44</v>
      </c>
      <c r="B48" s="10" t="inlineStr">
        <is>
          <t>Risk and compliance</t>
        </is>
      </c>
      <c r="C48" s="10" t="inlineStr">
        <is>
          <t>Library ranking, three measures</t>
        </is>
      </c>
      <c r="D48" s="10" t="inlineStr">
        <is>
          <t>Chart</t>
        </is>
      </c>
      <c r="E48" s="10" t="inlineStr">
        <is>
          <t>Largest by volume, largest by storage, highest declaration rate</t>
        </is>
      </c>
      <c r="F48" s="10" t="inlineStr">
        <is>
          <t>EDRMS database plus Microsoft Graph</t>
        </is>
      </c>
      <c r="G48" s="10" t="inlineStr">
        <is>
          <t>1 Utilization Report</t>
        </is>
      </c>
      <c r="H48" s="10" t="inlineStr">
        <is>
          <t>ListId, LibraryName, SiteName, FileSize, IsDeclaredRecord</t>
        </is>
      </c>
      <c r="I48" s="10" t="inlineStr">
        <is>
          <t>GROUP BY ListId, ordered by the chosen measure. Always show the library with its parent site, because library names repeat across sites</t>
        </is>
      </c>
      <c r="J48" s="10" t="inlineStr">
        <is>
          <t>Yes</t>
        </is>
      </c>
      <c r="K48" s="10" t="inlineStr">
        <is>
          <t>Partly</t>
        </is>
      </c>
      <c r="L48" s="10" t="inlineStr">
        <is>
          <t>Yes. Graph Explorer, aka.ms/ge, with the call in the formula column for size</t>
        </is>
      </c>
      <c r="M48" s="10" t="inlineStr">
        <is>
          <t>Easy</t>
        </is>
      </c>
      <c r="N48" s="11" t="inlineStr">
        <is>
          <t>Buildable now</t>
        </is>
      </c>
      <c r="O48" s="10" t="inlineStr"/>
    </row>
    <row r="49">
      <c r="A49" s="9" t="n">
        <v>45</v>
      </c>
      <c r="B49" s="10" t="inlineStr">
        <is>
          <t>Risk and compliance</t>
        </is>
      </c>
      <c r="C49" s="10" t="inlineStr">
        <is>
          <t>Most used libraries</t>
        </is>
      </c>
      <c r="D49" s="10" t="inlineStr">
        <is>
          <t>Tile</t>
        </is>
      </c>
      <c r="E49" s="10" t="inlineStr">
        <is>
          <t>Libraries ranked by views and edits</t>
        </is>
      </c>
      <c r="F49" s="10" t="inlineStr">
        <is>
          <t>No source</t>
        </is>
      </c>
      <c r="G49" s="10" t="inlineStr">
        <is>
          <t>None</t>
        </is>
      </c>
      <c r="H49" s="10" t="inlineStr">
        <is>
          <t>No column exists</t>
        </is>
      </c>
      <c r="I49" s="10" t="inlineStr">
        <is>
          <t>SharePoint reports activity per site and never per library</t>
        </is>
      </c>
      <c r="J49" s="10" t="inlineStr">
        <is>
          <t>No</t>
        </is>
      </c>
      <c r="K49" s="10" t="inlineStr">
        <is>
          <t>No</t>
        </is>
      </c>
      <c r="L49" s="10" t="inlineStr">
        <is>
          <t>No. Nothing in the tenant holds this</t>
        </is>
      </c>
      <c r="M49" s="10" t="inlineStr">
        <is>
          <t>Blocked</t>
        </is>
      </c>
      <c r="N49" s="13" t="inlineStr">
        <is>
          <t>Needs new data source</t>
        </is>
      </c>
      <c r="O49" s="10" t="inlineStr">
        <is>
          <t>Tell the client this cannot be produced and offer records created per library instead. Why: Microsoft exposes no per library activity feed at all</t>
        </is>
      </c>
    </row>
    <row r="50">
      <c r="A50" s="9" t="n">
        <v>46</v>
      </c>
      <c r="B50" s="10" t="inlineStr">
        <is>
          <t>Risk and compliance</t>
        </is>
      </c>
      <c r="C50" s="10" t="inlineStr">
        <is>
          <t>Orphaned libraries</t>
        </is>
      </c>
      <c r="D50" s="10" t="inlineStr">
        <is>
          <t>Tile</t>
        </is>
      </c>
      <c r="E50" s="10" t="inlineStr">
        <is>
          <t>Libraries with no owner</t>
        </is>
      </c>
      <c r="F50" s="10" t="inlineStr">
        <is>
          <t>No source</t>
        </is>
      </c>
      <c r="G50" s="10" t="inlineStr">
        <is>
          <t>None</t>
        </is>
      </c>
      <c r="H50" s="10" t="inlineStr">
        <is>
          <t>No library owner column exists</t>
        </is>
      </c>
      <c r="I50" s="10" t="inlineStr">
        <is>
          <t>We hold an owner for the site only</t>
        </is>
      </c>
      <c r="J50" s="10" t="inlineStr">
        <is>
          <t>No</t>
        </is>
      </c>
      <c r="K50" s="10" t="inlineStr">
        <is>
          <t>No</t>
        </is>
      </c>
      <c r="L50" s="10" t="inlineStr">
        <is>
          <t>No. Nothing in the tenant holds this</t>
        </is>
      </c>
      <c r="M50" s="10" t="inlineStr">
        <is>
          <t>Blocked</t>
        </is>
      </c>
      <c r="N50" s="15" t="inlineStr">
        <is>
          <t>Needs new column or join</t>
        </is>
      </c>
      <c r="O50" s="10" t="inlineStr">
        <is>
          <t>Ask whether a library owner is maintained anywhere. Why: the site owner is the only owner the tenant returns</t>
        </is>
      </c>
    </row>
    <row r="51">
      <c r="A51" s="9" t="n">
        <v>47</v>
      </c>
      <c r="B51" s="10" t="inlineStr">
        <is>
          <t>Records quality</t>
        </is>
      </c>
      <c r="C51" s="10" t="inlineStr">
        <is>
          <t>Duplicated records</t>
        </is>
      </c>
      <c r="D51" s="10" t="inlineStr">
        <is>
          <t>Tile</t>
        </is>
      </c>
      <c r="E51" s="10" t="inlineStr">
        <is>
          <t>Declared records sharing a filename</t>
        </is>
      </c>
      <c r="F51" s="10" t="inlineStr">
        <is>
          <t>EDRMS database</t>
        </is>
      </c>
      <c r="G51" s="10" t="inlineStr">
        <is>
          <t>1 Utilization Report</t>
        </is>
      </c>
      <c r="H51" s="10" t="inlineStr">
        <is>
          <t>Title</t>
        </is>
      </c>
      <c r="I51" s="10" t="inlineStr">
        <is>
          <t>COUNT over Title HAVING COUNT(*) &gt; 1. A repeated filename is the only definition the data supports, and it will overcount legitimate repeats such as a monthly report</t>
        </is>
      </c>
      <c r="J51" s="10" t="inlineStr">
        <is>
          <t>Yes</t>
        </is>
      </c>
      <c r="K51" s="10" t="inlineStr">
        <is>
          <t>Yes</t>
        </is>
      </c>
      <c r="L51" s="10" t="inlineStr">
        <is>
          <t>Yes. GROUP BY Title on Records and count the groups above one</t>
        </is>
      </c>
      <c r="M51" s="10" t="inlineStr">
        <is>
          <t>Easy</t>
        </is>
      </c>
      <c r="N51" s="11" t="inlineStr">
        <is>
          <t>Buildable now</t>
        </is>
      </c>
      <c r="O51" s="10" t="inlineStr">
        <is>
          <t>Confirm the definition. Why: the client wrote 'with same filenames?' themselves, so they already suspect it is imprecise</t>
        </is>
      </c>
    </row>
    <row r="52">
      <c r="A52" s="9" t="n">
        <v>48</v>
      </c>
      <c r="B52" s="10" t="inlineStr">
        <is>
          <t>Records quality</t>
        </is>
      </c>
      <c r="C52" s="10" t="inlineStr">
        <is>
          <t>Orphaned records</t>
        </is>
      </c>
      <c r="D52" s="10" t="inlineStr">
        <is>
          <t>Tile</t>
        </is>
      </c>
      <c r="E52" s="10" t="inlineStr">
        <is>
          <t>Records whose parent no longer resolves</t>
        </is>
      </c>
      <c r="F52" s="10" t="inlineStr">
        <is>
          <t>EDRMS database</t>
        </is>
      </c>
      <c r="G52" s="10" t="inlineStr">
        <is>
          <t>1 Utilization Report</t>
        </is>
      </c>
      <c r="H52" s="10" t="inlineStr">
        <is>
          <t>ListId, SiteUrl</t>
        </is>
      </c>
      <c r="I52" s="10" t="inlineStr">
        <is>
          <t>Records whose ListId or SiteUrl no longer appears in the site or library list</t>
        </is>
      </c>
      <c r="J52" s="10" t="inlineStr">
        <is>
          <t>Yes</t>
        </is>
      </c>
      <c r="K52" s="10" t="inlineStr">
        <is>
          <t>Yes</t>
        </is>
      </c>
      <c r="L52" s="10" t="inlineStr">
        <is>
          <t>Yes. Left join Records against the Graph site and drive lists</t>
        </is>
      </c>
      <c r="M52" s="10" t="inlineStr">
        <is>
          <t>Easy</t>
        </is>
      </c>
      <c r="N52" s="11" t="inlineStr">
        <is>
          <t>Buildable now</t>
        </is>
      </c>
      <c r="O52" s="10" t="inlineStr">
        <is>
          <t>Confirm what counts as orphaned. Why: it could mean a missing site, a missing library or a missing owner, and the three give different numbers</t>
        </is>
      </c>
    </row>
    <row r="53">
      <c r="A53" s="9" t="n">
        <v>49</v>
      </c>
      <c r="B53" s="10" t="inlineStr">
        <is>
          <t>Classification</t>
        </is>
      </c>
      <c r="C53" s="10" t="inlineStr">
        <is>
          <t>Records by sensitivity label</t>
        </is>
      </c>
      <c r="D53" s="10" t="inlineStr">
        <is>
          <t>Chart and tile</t>
        </is>
      </c>
      <c r="E53" s="10" t="inlineStr">
        <is>
          <t>Protection applied to declared records</t>
        </is>
      </c>
      <c r="F53" s="10" t="inlineStr">
        <is>
          <t>EDRMS database</t>
        </is>
      </c>
      <c r="G53" s="10" t="inlineStr">
        <is>
          <t>1 Utilization Report</t>
        </is>
      </c>
      <c r="H53" s="10" t="inlineStr">
        <is>
          <t>SensitivityLabelName</t>
        </is>
      </c>
      <c r="I53" s="10" t="inlineStr">
        <is>
          <t>COUNT(*) GROUP BY SensitivityLabelName, with NULL counted as unlabelled</t>
        </is>
      </c>
      <c r="J53" s="10" t="inlineStr">
        <is>
          <t>Yes</t>
        </is>
      </c>
      <c r="K53" s="10" t="inlineStr">
        <is>
          <t>Yes</t>
        </is>
      </c>
      <c r="L53" s="10" t="inlineStr">
        <is>
          <t>Yes. The column is on the document row in the design and readable from Records</t>
        </is>
      </c>
      <c r="M53" s="10" t="inlineStr">
        <is>
          <t>Easy</t>
        </is>
      </c>
      <c r="N53" s="11" t="inlineStr">
        <is>
          <t>Buildable now</t>
        </is>
      </c>
      <c r="O53" s="10" t="inlineStr"/>
    </row>
    <row r="54">
      <c r="A54" s="9" t="n">
        <v>50</v>
      </c>
      <c r="B54" s="10" t="inlineStr">
        <is>
          <t>Classification</t>
        </is>
      </c>
      <c r="C54" s="10" t="inlineStr">
        <is>
          <t>Restricted and Confidential records</t>
        </is>
      </c>
      <c r="D54" s="10" t="inlineStr">
        <is>
          <t>Tile</t>
        </is>
      </c>
      <c r="E54" s="10" t="inlineStr">
        <is>
          <t>Counts at each classification level</t>
        </is>
      </c>
      <c r="F54" s="10" t="inlineStr">
        <is>
          <t>EDRMS database</t>
        </is>
      </c>
      <c r="G54" s="10" t="inlineStr">
        <is>
          <t>1 Utilization Report</t>
        </is>
      </c>
      <c r="H54" s="10" t="inlineStr">
        <is>
          <t>SensitivityLabelName</t>
        </is>
      </c>
      <c r="I54" s="10" t="inlineStr">
        <is>
          <t>COUNT(*) WHERE SensitivityLabelName IN the chosen levels</t>
        </is>
      </c>
      <c r="J54" s="10" t="inlineStr">
        <is>
          <t>Yes</t>
        </is>
      </c>
      <c r="K54" s="10" t="inlineStr">
        <is>
          <t>Yes</t>
        </is>
      </c>
      <c r="L54" s="10" t="inlineStr">
        <is>
          <t>Yes, provided the label set actually uses those names</t>
        </is>
      </c>
      <c r="M54" s="10" t="inlineStr">
        <is>
          <t>Easy</t>
        </is>
      </c>
      <c r="N54" s="11" t="inlineStr">
        <is>
          <t>Buildable now</t>
        </is>
      </c>
      <c r="O54" s="10" t="inlineStr">
        <is>
          <t>Confirm the label names in use. Why: the tile names must match the tenant's own labels</t>
        </is>
      </c>
    </row>
    <row r="55">
      <c r="A55" s="9" t="n">
        <v>51</v>
      </c>
      <c r="B55" s="10" t="inlineStr">
        <is>
          <t>Access management</t>
        </is>
      </c>
      <c r="C55" s="10" t="inlineStr">
        <is>
          <t>Access requests granted and declined</t>
        </is>
      </c>
      <c r="D55" s="10" t="inlineStr">
        <is>
          <t>Tile</t>
        </is>
      </c>
      <c r="E55" s="10" t="inlineStr">
        <is>
          <t>Permission requests on sites</t>
        </is>
      </c>
      <c r="F55" s="10" t="inlineStr">
        <is>
          <t>No source</t>
        </is>
      </c>
      <c r="G55" s="10" t="inlineStr">
        <is>
          <t>None</t>
        </is>
      </c>
      <c r="H55" s="10" t="inlineStr">
        <is>
          <t>No column exists</t>
        </is>
      </c>
      <c r="I55" s="10" t="inlineStr">
        <is>
          <t>Would come from the audit log, not a reporting feed</t>
        </is>
      </c>
      <c r="J55" s="10" t="inlineStr">
        <is>
          <t>No</t>
        </is>
      </c>
      <c r="K55" s="10" t="inlineStr">
        <is>
          <t>No</t>
        </is>
      </c>
      <c r="L55" s="10" t="inlineStr">
        <is>
          <t>No. Nothing in the tenant holds this</t>
        </is>
      </c>
      <c r="M55" s="10" t="inlineStr">
        <is>
          <t>Blocked</t>
        </is>
      </c>
      <c r="N55" s="13" t="inlineStr">
        <is>
          <t>Needs new data source</t>
        </is>
      </c>
      <c r="O55" s="10" t="inlineStr">
        <is>
          <t>Ask whether audit log access can be granted, and confirm the purpose. Why: access requests, external sharing and permission exceptions live in the audit log, a different Graph surface with a different permission set</t>
        </is>
      </c>
    </row>
    <row r="56">
      <c r="A56" s="9" t="n">
        <v>52</v>
      </c>
      <c r="B56" s="10" t="inlineStr">
        <is>
          <t>Access management</t>
        </is>
      </c>
      <c r="C56" s="10" t="inlineStr">
        <is>
          <t>External sharing, Permission exceptions</t>
        </is>
      </c>
      <c r="D56" s="10" t="inlineStr">
        <is>
          <t>Tile</t>
        </is>
      </c>
      <c r="E56" s="10" t="inlineStr">
        <is>
          <t>Content shared outside its site</t>
        </is>
      </c>
      <c r="F56" s="10" t="inlineStr">
        <is>
          <t>No source</t>
        </is>
      </c>
      <c r="G56" s="10" t="inlineStr">
        <is>
          <t>None</t>
        </is>
      </c>
      <c r="H56" s="10" t="inlineStr">
        <is>
          <t>No column exists</t>
        </is>
      </c>
      <c r="I56" s="10" t="inlineStr">
        <is>
          <t>Audit log and permission data, a different Graph surface</t>
        </is>
      </c>
      <c r="J56" s="10" t="inlineStr">
        <is>
          <t>No</t>
        </is>
      </c>
      <c r="K56" s="10" t="inlineStr">
        <is>
          <t>No</t>
        </is>
      </c>
      <c r="L56" s="10" t="inlineStr">
        <is>
          <t>No. Nothing in the tenant holds this</t>
        </is>
      </c>
      <c r="M56" s="10" t="inlineStr">
        <is>
          <t>Blocked</t>
        </is>
      </c>
      <c r="N56" s="13" t="inlineStr">
        <is>
          <t>Needs new data source</t>
        </is>
      </c>
      <c r="O56" s="10" t="inlineStr">
        <is>
          <t>Ask whether audit log access can be granted, and confirm the purpose. Why: access requests, external sharing and permission exceptions live in the audit log, a different Graph surface with a different permission set</t>
        </is>
      </c>
    </row>
    <row r="57">
      <c r="A57" s="9" t="n">
        <v>53</v>
      </c>
      <c r="B57" s="10" t="inlineStr">
        <is>
          <t>Search analytics</t>
        </is>
      </c>
      <c r="C57" s="10" t="inlineStr">
        <is>
          <t>Searches performed, Successful searches</t>
        </is>
      </c>
      <c r="D57" s="10" t="inlineStr">
        <is>
          <t>Tile</t>
        </is>
      </c>
      <c r="E57" s="10" t="inlineStr">
        <is>
          <t>How people look for records</t>
        </is>
      </c>
      <c r="F57" s="10" t="inlineStr">
        <is>
          <t>No source</t>
        </is>
      </c>
      <c r="G57" s="10" t="inlineStr">
        <is>
          <t>None</t>
        </is>
      </c>
      <c r="H57" s="10" t="inlineStr">
        <is>
          <t>No column exists</t>
        </is>
      </c>
      <c r="I57" s="10" t="inlineStr">
        <is>
          <t>SharePoint search analytics are tenant level and not exposed per record</t>
        </is>
      </c>
      <c r="J57" s="10" t="inlineStr">
        <is>
          <t>No</t>
        </is>
      </c>
      <c r="K57" s="10" t="inlineStr">
        <is>
          <t>No</t>
        </is>
      </c>
      <c r="L57" s="10" t="inlineStr">
        <is>
          <t>No. Nothing in the tenant holds this</t>
        </is>
      </c>
      <c r="M57" s="10" t="inlineStr">
        <is>
          <t>Blocked</t>
        </is>
      </c>
      <c r="N57" s="13" t="inlineStr">
        <is>
          <t>Needs new data source</t>
        </is>
      </c>
      <c r="O57" s="10" t="inlineStr">
        <is>
          <t>Tell the client search analytics cannot be attributed to a record or a library. Why: Microsoft reports them at tenant level only</t>
        </is>
      </c>
    </row>
    <row r="58">
      <c r="A58" s="9" t="n">
        <v>54</v>
      </c>
      <c r="B58" s="10" t="inlineStr">
        <is>
          <t>Search analytics</t>
        </is>
      </c>
      <c r="C58" s="10" t="inlineStr">
        <is>
          <t>Most viewed and most downloaded records</t>
        </is>
      </c>
      <c r="D58" s="10" t="inlineStr">
        <is>
          <t>Tile</t>
        </is>
      </c>
      <c r="E58" s="10" t="inlineStr">
        <is>
          <t>Top content</t>
        </is>
      </c>
      <c r="F58" s="10" t="inlineStr">
        <is>
          <t>No source</t>
        </is>
      </c>
      <c r="G58" s="10" t="inlineStr">
        <is>
          <t>None</t>
        </is>
      </c>
      <c r="H58" s="10" t="inlineStr">
        <is>
          <t>No column exists</t>
        </is>
      </c>
      <c r="I58" s="10" t="inlineStr">
        <is>
          <t>Graph analytics reports a site, never a document</t>
        </is>
      </c>
      <c r="J58" s="10" t="inlineStr">
        <is>
          <t>No</t>
        </is>
      </c>
      <c r="K58" s="10" t="inlineStr">
        <is>
          <t>No</t>
        </is>
      </c>
      <c r="L58" s="10" t="inlineStr">
        <is>
          <t>No. Nothing in the tenant holds this</t>
        </is>
      </c>
      <c r="M58" s="10" t="inlineStr">
        <is>
          <t>Blocked</t>
        </is>
      </c>
      <c r="N58" s="13" t="inlineStr">
        <is>
          <t>Needs new data source</t>
        </is>
      </c>
      <c r="O58" s="10" t="inlineStr">
        <is>
          <t>Offer most active sites instead. Why: document grain analytics do not exist</t>
        </is>
      </c>
    </row>
  </sheetData>
  <autoFilter ref="A4:O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Department Insights</t>
        </is>
      </c>
      <c r="B1" s="6" t="n"/>
      <c r="C1" s="6" t="n"/>
      <c r="D1" s="6" t="n"/>
      <c r="E1" s="6" t="n"/>
      <c r="F1" s="6" t="n"/>
      <c r="G1" s="6" t="n"/>
      <c r="H1" s="6" t="n"/>
      <c r="I1" s="6" t="n"/>
      <c r="J1" s="6" t="n"/>
      <c r="K1" s="6" t="n"/>
      <c r="L1" s="6" t="n"/>
      <c r="M1" s="6" t="n"/>
      <c r="N1" s="6" t="n"/>
      <c r="O1" s="6" t="n"/>
    </row>
    <row r="2" ht="16" customHeight="1">
      <c r="A2" s="7" t="inlineStr">
        <is>
          <t>Client design: PPT s19 to s28, s53 to s66.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Scope</t>
        </is>
      </c>
      <c r="C5" s="10" t="inlineStr">
        <is>
          <t>Department picker</t>
        </is>
      </c>
      <c r="D5" s="10" t="inlineStr">
        <is>
          <t>Filter</t>
        </is>
      </c>
      <c r="E5" s="10" t="inlineStr">
        <is>
          <t>Every panel follows the chosen department</t>
        </is>
      </c>
      <c r="F5" s="10" t="inlineStr">
        <is>
          <t>No source</t>
        </is>
      </c>
      <c r="G5" s="10" t="inlineStr">
        <is>
          <t>2 Site Activity</t>
        </is>
      </c>
      <c r="H5" s="10" t="inlineStr">
        <is>
          <t>ADBDepartmentOwner</t>
        </is>
      </c>
      <c r="I5" s="10" t="inlineStr">
        <is>
          <t>WHERE ADBDepartmentOwner = selection, inherited by documents through SiteUrl</t>
        </is>
      </c>
      <c r="J5" s="10" t="inlineStr">
        <is>
          <t>Column exists, unpopulated</t>
        </is>
      </c>
      <c r="K5" s="10" t="inlineStr">
        <is>
          <t>No</t>
        </is>
      </c>
      <c r="L5" s="10" t="inlineStr">
        <is>
          <t>Not until the department list exists. The measure itself is testable bank-wide today</t>
        </is>
      </c>
      <c r="M5" s="10" t="inlineStr">
        <is>
          <t>Easy</t>
        </is>
      </c>
      <c r="N5" s="12" t="inlineStr">
        <is>
          <t>Needs department list</t>
        </is>
      </c>
      <c r="O5" s="10" t="inlineStr">
        <is>
          <t>Ask RAC for the site to department list, roughly 1,057 rows, one department per site URL. Check AvePoint Cloud Governance first, it may already hold it from the site request. Why: this single list unlocks every departmental figure in the report</t>
        </is>
      </c>
    </row>
    <row r="6">
      <c r="A6" s="9" t="n">
        <v>2</v>
      </c>
      <c r="B6" s="10" t="inlineStr">
        <is>
          <t>Top panel</t>
        </is>
      </c>
      <c r="C6" s="10" t="inlineStr">
        <is>
          <t>Go-live date</t>
        </is>
      </c>
      <c r="D6" s="10" t="inlineStr">
        <is>
          <t>Label</t>
        </is>
      </c>
      <c r="E6" s="10" t="inlineStr">
        <is>
          <t>When the department started on EDRMS</t>
        </is>
      </c>
      <c r="F6" s="10" t="inlineStr">
        <is>
          <t>No source</t>
        </is>
      </c>
      <c r="G6" s="10" t="inlineStr">
        <is>
          <t>None</t>
        </is>
      </c>
      <c r="H6" s="10" t="inlineStr">
        <is>
          <t>No column exists</t>
        </is>
      </c>
      <c r="I6" s="10" t="inlineStr">
        <is>
          <t>A maintained list, one date per department</t>
        </is>
      </c>
      <c r="J6" s="10" t="inlineStr">
        <is>
          <t>No</t>
        </is>
      </c>
      <c r="K6" s="10" t="inlineStr">
        <is>
          <t>No</t>
        </is>
      </c>
      <c r="L6" s="10" t="inlineStr">
        <is>
          <t>No. Nothing in the tenant holds this</t>
        </is>
      </c>
      <c r="M6" s="10" t="inlineStr">
        <is>
          <t>Blocked</t>
        </is>
      </c>
      <c r="N6" s="14" t="inlineStr">
        <is>
          <t>Needs reference list</t>
        </is>
      </c>
      <c r="O6" s="10" t="inlineStr">
        <is>
          <t>Ask who maintains this list and where it will live. Why: it is not a measurement, nothing can generate it, and without an owner the panel stays empty</t>
        </is>
      </c>
    </row>
    <row r="7">
      <c r="A7" s="9" t="n">
        <v>3</v>
      </c>
      <c r="B7" s="10" t="inlineStr">
        <is>
          <t>Top panel</t>
        </is>
      </c>
      <c r="C7" s="10" t="inlineStr">
        <is>
          <t>Sites, Users, Documents, Records, Counterparts, Due</t>
        </is>
      </c>
      <c r="D7" s="10" t="inlineStr">
        <is>
          <t>KPI</t>
        </is>
      </c>
      <c r="E7" s="10" t="inlineStr">
        <is>
          <t>The department's totals</t>
        </is>
      </c>
      <c r="F7" s="10" t="inlineStr">
        <is>
          <t>EDRMS database plus M365 usage report</t>
        </is>
      </c>
      <c r="G7" s="10" t="inlineStr">
        <is>
          <t>1 Utilization Report, 2 Site Activity, 3 User Activity</t>
        </is>
      </c>
      <c r="H7" s="10" t="inlineStr">
        <is>
          <t>Same columns as Bank-wide, filtered</t>
        </is>
      </c>
      <c r="I7" s="10" t="inlineStr">
        <is>
          <t>Every bank-wide measure with a department filter applied</t>
        </is>
      </c>
      <c r="J7" s="10" t="inlineStr">
        <is>
          <t>Yes</t>
        </is>
      </c>
      <c r="K7" s="10" t="inlineStr">
        <is>
          <t>Partly</t>
        </is>
      </c>
      <c r="L7" s="10" t="inlineStr">
        <is>
          <t>Not until the department list exists. The measure itself is testable bank-wide today</t>
        </is>
      </c>
      <c r="M7" s="10" t="inlineStr">
        <is>
          <t>Easy</t>
        </is>
      </c>
      <c r="N7" s="12" t="inlineStr">
        <is>
          <t>Needs department list</t>
        </is>
      </c>
      <c r="O7" s="10" t="inlineStr">
        <is>
          <t>Ask RAC for the site to department list, roughly 1,057 rows, one department per site URL. Check AvePoint Cloud Governance first, it may already hold it from the site request. Why: this single list unlocks every departmental figure in the report</t>
        </is>
      </c>
    </row>
    <row r="8">
      <c r="A8" s="9" t="n">
        <v>4</v>
      </c>
      <c r="B8" s="10" t="inlineStr">
        <is>
          <t>Top panel</t>
        </is>
      </c>
      <c r="C8" s="10" t="inlineStr">
        <is>
          <t>Sites Inactive over 90 Days</t>
        </is>
      </c>
      <c r="D8" s="10" t="inlineStr">
        <is>
          <t>KPI</t>
        </is>
      </c>
      <c r="E8" s="10" t="inlineStr">
        <is>
          <t>Idle sites in this department</t>
        </is>
      </c>
      <c r="F8" s="10" t="inlineStr">
        <is>
          <t>M365 usage report</t>
        </is>
      </c>
      <c r="G8" s="10" t="inlineStr">
        <is>
          <t>2 Site Activity</t>
        </is>
      </c>
      <c r="H8" s="10" t="inlineStr">
        <is>
          <t>LastActivityDate</t>
        </is>
      </c>
      <c r="I8" s="10" t="inlineStr">
        <is>
          <t>COUNT(*) WHERE LastActivityDate &lt; today - 90</t>
        </is>
      </c>
      <c r="J8" s="10" t="inlineStr">
        <is>
          <t>Yes</t>
        </is>
      </c>
      <c r="K8" s="10" t="inlineStr">
        <is>
          <t>Yes</t>
        </is>
      </c>
      <c r="L8" s="10" t="inlineStr">
        <is>
          <t>Yes. Export the SharePoint site usage report from admin.microsoft.com, Reports, Usage, SharePoint site usage</t>
        </is>
      </c>
      <c r="M8" s="10" t="inlineStr">
        <is>
          <t>Easy</t>
        </is>
      </c>
      <c r="N8" s="12" t="inlineStr">
        <is>
          <t>Needs department list</t>
        </is>
      </c>
      <c r="O8" s="10" t="inlineStr">
        <is>
          <t>Ask whether an inactive site is 90 days or 300. The deck says 90, the metrics document says 300. Why: it changes every inactivity figure, and it is a one line change either way</t>
        </is>
      </c>
    </row>
    <row r="9">
      <c r="A9" s="9" t="n">
        <v>5</v>
      </c>
      <c r="B9" s="10" t="inlineStr">
        <is>
          <t>Users</t>
        </is>
      </c>
      <c r="C9" s="10" t="inlineStr">
        <is>
          <t>Active users by division</t>
        </is>
      </c>
      <c r="D9" s="10" t="inlineStr">
        <is>
          <t>Table</t>
        </is>
      </c>
      <c r="E9" s="10" t="inlineStr">
        <is>
          <t>Adoption inside the department</t>
        </is>
      </c>
      <c r="F9" s="10" t="inlineStr">
        <is>
          <t>M365 usage report</t>
        </is>
      </c>
      <c r="G9" s="10" t="inlineStr">
        <is>
          <t>3 User Activity</t>
        </is>
      </c>
      <c r="H9" s="10" t="inlineStr">
        <is>
          <t>UserPrincipalName, LastActivityDate</t>
        </is>
      </c>
      <c r="I9" s="10" t="inlineStr">
        <is>
          <t>COUNT(DISTINCT UPN) grouped by division</t>
        </is>
      </c>
      <c r="J9" s="10" t="inlineStr">
        <is>
          <t>Division does not exist</t>
        </is>
      </c>
      <c r="K9" s="10" t="inlineStr">
        <is>
          <t>No</t>
        </is>
      </c>
      <c r="L9" s="10" t="inlineStr">
        <is>
          <t>No. Nothing in the tenant holds this</t>
        </is>
      </c>
      <c r="M9" s="10" t="inlineStr">
        <is>
          <t>Easy once supplied</t>
        </is>
      </c>
      <c r="N9" s="13" t="inlineStr">
        <is>
          <t>Needs new data source</t>
        </is>
      </c>
      <c r="O9" s="10" t="inlineStr">
        <is>
          <t>Ask who supplies division alongside department. Why: the tier was reinstated at the client's request but nothing in the tenant populates it, so the RAC list has to carry a division column too</t>
        </is>
      </c>
    </row>
    <row r="10">
      <c r="A10" s="9" t="n">
        <v>6</v>
      </c>
      <c r="B10" s="10" t="inlineStr">
        <is>
          <t>Users</t>
        </is>
      </c>
      <c r="C10" s="10" t="inlineStr">
        <is>
          <t>Staff, Contractors, Consultants, Training</t>
        </is>
      </c>
      <c r="D10" s="10" t="inlineStr">
        <is>
          <t>Table column</t>
        </is>
      </c>
      <c r="E10" s="10" t="inlineStr">
        <is>
          <t>Employment class and training</t>
        </is>
      </c>
      <c r="F10" s="10" t="inlineStr">
        <is>
          <t>No source</t>
        </is>
      </c>
      <c r="G10" s="10" t="inlineStr">
        <is>
          <t>None</t>
        </is>
      </c>
      <c r="H10" s="10" t="inlineStr">
        <is>
          <t>No column exists</t>
        </is>
      </c>
      <c r="I10" s="10" t="inlineStr">
        <is>
          <t>Would come from an HR or LMS extract joined on UPN</t>
        </is>
      </c>
      <c r="J10" s="10" t="inlineStr">
        <is>
          <t>No</t>
        </is>
      </c>
      <c r="K10" s="10" t="inlineStr">
        <is>
          <t>No</t>
        </is>
      </c>
      <c r="L10" s="10" t="inlineStr">
        <is>
          <t>No. Nothing in the tenant holds this</t>
        </is>
      </c>
      <c r="M10" s="10" t="inlineStr">
        <is>
          <t>Blocked</t>
        </is>
      </c>
      <c r="N10" s="13" t="inlineStr">
        <is>
          <t>Needs new data source</t>
        </is>
      </c>
      <c r="O10" s="10" t="inlineStr">
        <is>
          <t>Ask which system owns staff, contractor and consultant classification and training completion. The client asks the same question on their own slide 54. Why: nothing in SharePoint holds it</t>
        </is>
      </c>
    </row>
    <row r="11">
      <c r="A11" s="9" t="n">
        <v>7</v>
      </c>
      <c r="B11" s="10" t="inlineStr">
        <is>
          <t>Visitors</t>
        </is>
      </c>
      <c r="C11" s="10" t="inlineStr">
        <is>
          <t>Visitors per site</t>
        </is>
      </c>
      <c r="D11" s="10" t="inlineStr">
        <is>
          <t>Table</t>
        </is>
      </c>
      <c r="E11" s="10" t="inlineStr">
        <is>
          <t>People opening content in each site</t>
        </is>
      </c>
      <c r="F11" s="10" t="inlineStr">
        <is>
          <t>Site analytics</t>
        </is>
      </c>
      <c r="G11" s="10" t="inlineStr">
        <is>
          <t>2 Site Activity</t>
        </is>
      </c>
      <c r="H11" s="10" t="inlineStr">
        <is>
          <t>UniqueViewers7, UniqueViewersAllTime</t>
        </is>
      </c>
      <c r="I11" s="10" t="inlineStr">
        <is>
          <t>GET /sites/{id}/analytics/allTime and /lastSevenDays, the actorCount field. Two windows only, there is no 30 or 90 day window</t>
        </is>
      </c>
      <c r="J11" s="10" t="inlineStr">
        <is>
          <t>Yes</t>
        </is>
      </c>
      <c r="K11" s="10" t="inlineStr">
        <is>
          <t>Yes</t>
        </is>
      </c>
      <c r="L11" s="10" t="inlineStr">
        <is>
          <t>Yes. Graph Explorer, aka.ms/ge, with the call in the formula column. Returned actorCount 12 on a test site</t>
        </is>
      </c>
      <c r="M11" s="10" t="inlineStr">
        <is>
          <t>Easy</t>
        </is>
      </c>
      <c r="N11" s="11" t="inlineStr">
        <is>
          <t>Buildable now</t>
        </is>
      </c>
      <c r="O11" s="10" t="inlineStr">
        <is>
          <t>Warn the client only 7 day and all time windows exist. Why: their slide implies a monthly figure</t>
        </is>
      </c>
    </row>
    <row r="12">
      <c r="A12" s="9" t="n">
        <v>8</v>
      </c>
      <c r="B12" s="10" t="inlineStr">
        <is>
          <t>Visitors</t>
        </is>
      </c>
      <c r="C12" s="10" t="inlineStr">
        <is>
          <t>Internal against external visitors</t>
        </is>
      </c>
      <c r="D12" s="10" t="inlineStr">
        <is>
          <t>Table column</t>
        </is>
      </c>
      <c r="E12" s="10" t="inlineStr">
        <is>
          <t>Where visitors come from</t>
        </is>
      </c>
      <c r="F12" s="10" t="inlineStr">
        <is>
          <t>No source</t>
        </is>
      </c>
      <c r="G12" s="10" t="inlineStr">
        <is>
          <t>2 Site Activity</t>
        </is>
      </c>
      <c r="H12" s="10" t="inlineStr">
        <is>
          <t>No column exists</t>
        </is>
      </c>
      <c r="I12" s="10" t="inlineStr">
        <is>
          <t>Graph returns a count with no internal or external split</t>
        </is>
      </c>
      <c r="J12" s="10" t="inlineStr">
        <is>
          <t>No</t>
        </is>
      </c>
      <c r="K12" s="10" t="inlineStr">
        <is>
          <t>No</t>
        </is>
      </c>
      <c r="L12" s="10" t="inlineStr">
        <is>
          <t>No. Nothing in the tenant holds this</t>
        </is>
      </c>
      <c r="M12" s="10" t="inlineStr">
        <is>
          <t>Blocked</t>
        </is>
      </c>
      <c r="N12" s="13" t="inlineStr">
        <is>
          <t>Needs new data source</t>
        </is>
      </c>
      <c r="O12" s="10" t="inlineStr">
        <is>
          <t>Ask whether audit log access can be granted, and confirm the purpose. Why: access requests, external sharing and permission exceptions live in the audit log, a different Graph surface with a different permission set</t>
        </is>
      </c>
    </row>
    <row r="13">
      <c r="A13" s="9" t="n">
        <v>9</v>
      </c>
      <c r="B13" s="10" t="inlineStr">
        <is>
          <t>Visitors</t>
        </is>
      </c>
      <c r="C13" s="10" t="inlineStr">
        <is>
          <t>Access requests granted and declined</t>
        </is>
      </c>
      <c r="D13" s="10" t="inlineStr">
        <is>
          <t>Table column</t>
        </is>
      </c>
      <c r="E13" s="10" t="inlineStr">
        <is>
          <t>Permission requests per site</t>
        </is>
      </c>
      <c r="F13" s="10" t="inlineStr">
        <is>
          <t>No source</t>
        </is>
      </c>
      <c r="G13" s="10" t="inlineStr">
        <is>
          <t>None</t>
        </is>
      </c>
      <c r="H13" s="10" t="inlineStr">
        <is>
          <t>No column exists</t>
        </is>
      </c>
      <c r="I13" s="10" t="inlineStr">
        <is>
          <t>Audit log data, not a reporting feed</t>
        </is>
      </c>
      <c r="J13" s="10" t="inlineStr">
        <is>
          <t>No</t>
        </is>
      </c>
      <c r="K13" s="10" t="inlineStr">
        <is>
          <t>No</t>
        </is>
      </c>
      <c r="L13" s="10" t="inlineStr">
        <is>
          <t>No. Nothing in the tenant holds this</t>
        </is>
      </c>
      <c r="M13" s="10" t="inlineStr">
        <is>
          <t>Blocked</t>
        </is>
      </c>
      <c r="N13" s="13" t="inlineStr">
        <is>
          <t>Needs new data source</t>
        </is>
      </c>
      <c r="O13" s="10" t="inlineStr">
        <is>
          <t>Ask whether audit log access can be granted, and confirm the purpose. Why: access requests, external sharing and permission exceptions live in the audit log, a different Graph surface with a different permission set</t>
        </is>
      </c>
    </row>
    <row r="14">
      <c r="A14" s="9" t="n">
        <v>10</v>
      </c>
      <c r="B14" s="10" t="inlineStr">
        <is>
          <t>Sites</t>
        </is>
      </c>
      <c r="C14" s="10" t="inlineStr">
        <is>
          <t>Site list with owners</t>
        </is>
      </c>
      <c r="D14" s="10" t="inlineStr">
        <is>
          <t>Table</t>
        </is>
      </c>
      <c r="E14" s="10" t="inlineStr">
        <is>
          <t>Every site the department owns</t>
        </is>
      </c>
      <c r="F14" s="10" t="inlineStr">
        <is>
          <t>M365 usage report</t>
        </is>
      </c>
      <c r="G14" s="10" t="inlineStr">
        <is>
          <t>2 Site Activity</t>
        </is>
      </c>
      <c r="H14" s="10" t="inlineStr">
        <is>
          <t>SiteName, SiteOwner, SiteUrl</t>
        </is>
      </c>
      <c r="I14" s="10" t="inlineStr">
        <is>
          <t>All sites WHERE ADBDepartmentOwner = selection</t>
        </is>
      </c>
      <c r="J14" s="10" t="inlineStr">
        <is>
          <t>Yes</t>
        </is>
      </c>
      <c r="K14" s="10" t="inlineStr">
        <is>
          <t>Partly</t>
        </is>
      </c>
      <c r="L14" s="10" t="inlineStr">
        <is>
          <t>Yes. Export the SharePoint site usage report from admin.microsoft.com, Reports, Usage, SharePoint site usage. SiteOwner present on 1,899 of 1,918 live sites</t>
        </is>
      </c>
      <c r="M14" s="10" t="inlineStr">
        <is>
          <t>Easy</t>
        </is>
      </c>
      <c r="N14" s="12" t="inlineStr">
        <is>
          <t>Needs department list</t>
        </is>
      </c>
      <c r="O14" s="10" t="inlineStr">
        <is>
          <t>Ask RAC for the site to department list, roughly 1,057 rows, one department per site URL. Check AvePoint Cloud Governance first, it may already hold it from the site request. Why: this single list unlocks every departmental figure in the report</t>
        </is>
      </c>
    </row>
    <row r="15">
      <c r="A15" s="9" t="n">
        <v>11</v>
      </c>
      <c r="B15" s="10" t="inlineStr">
        <is>
          <t>Sites</t>
        </is>
      </c>
      <c r="C15" s="10" t="inlineStr">
        <is>
          <t>Documents, records, counterparts, due per site</t>
        </is>
      </c>
      <c r="D15" s="10" t="inlineStr">
        <is>
          <t>Table column</t>
        </is>
      </c>
      <c r="E15" s="10" t="inlineStr">
        <is>
          <t>What each site holds</t>
        </is>
      </c>
      <c r="F15" s="10" t="inlineStr">
        <is>
          <t>EDRMS database</t>
        </is>
      </c>
      <c r="G15" s="10" t="inlineStr">
        <is>
          <t>1 Utilization Report</t>
        </is>
      </c>
      <c r="H15" s="10" t="inlineStr">
        <is>
          <t>SiteUrl, IsDeclaredRecord, HasPhysical, EDRMSDueDateForDisposal</t>
        </is>
      </c>
      <c r="I15" s="10" t="inlineStr">
        <is>
          <t>GROUP BY SiteUrl over the document table</t>
        </is>
      </c>
      <c r="J15" s="10" t="inlineStr">
        <is>
          <t>Yes</t>
        </is>
      </c>
      <c r="K15" s="10" t="inlineStr">
        <is>
          <t>Partly</t>
        </is>
      </c>
      <c r="L15" s="10" t="inlineStr">
        <is>
          <t>Partly. The declared half is queryable today. The undeclared half needs the weekly SharePoint scan, which is not built</t>
        </is>
      </c>
      <c r="M15" s="10" t="inlineStr">
        <is>
          <t>Easy</t>
        </is>
      </c>
      <c r="N15" s="12" t="inlineStr">
        <is>
          <t>Needs department list</t>
        </is>
      </c>
      <c r="O15" s="10" t="inlineStr">
        <is>
          <t>Ask RAC for the site to department list, roughly 1,057 rows, one department per site URL. Check AvePoint Cloud Governance first, it may already hold it from the site request. Why: this single list unlocks every departmental figure in the report</t>
        </is>
      </c>
    </row>
    <row r="16">
      <c r="A16" s="9" t="n">
        <v>12</v>
      </c>
      <c r="B16" s="10" t="inlineStr">
        <is>
          <t>Sites</t>
        </is>
      </c>
      <c r="C16" s="10" t="inlineStr">
        <is>
          <t>No activity in 90 days</t>
        </is>
      </c>
      <c r="D16" s="10" t="inlineStr">
        <is>
          <t>Table column</t>
        </is>
      </c>
      <c r="E16" s="10" t="inlineStr">
        <is>
          <t>Sites that have gone quiet</t>
        </is>
      </c>
      <c r="F16" s="10" t="inlineStr">
        <is>
          <t>M365 usage report</t>
        </is>
      </c>
      <c r="G16" s="10" t="inlineStr">
        <is>
          <t>2 Site Activity</t>
        </is>
      </c>
      <c r="H16" s="10" t="inlineStr">
        <is>
          <t>LastActivityDate</t>
        </is>
      </c>
      <c r="I16" s="10" t="inlineStr">
        <is>
          <t>LastActivityDate &lt; today - 90, derived not stored</t>
        </is>
      </c>
      <c r="J16" s="10" t="inlineStr">
        <is>
          <t>Yes</t>
        </is>
      </c>
      <c r="K16" s="10" t="inlineStr">
        <is>
          <t>Yes</t>
        </is>
      </c>
      <c r="L16" s="10" t="inlineStr">
        <is>
          <t>Yes. Export the SharePoint site usage report from admin.microsoft.com, Reports, Usage, SharePoint site usage</t>
        </is>
      </c>
      <c r="M16" s="10" t="inlineStr">
        <is>
          <t>Easy</t>
        </is>
      </c>
      <c r="N16" s="11" t="inlineStr">
        <is>
          <t>Buildable now</t>
        </is>
      </c>
      <c r="O16" s="10" t="inlineStr">
        <is>
          <t>Ask whether an inactive site is 90 days or 300. The deck says 90, the metrics document says 300. Why: it changes every inactivity figure, and it is a one line change either way</t>
        </is>
      </c>
    </row>
    <row r="17">
      <c r="A17" s="9" t="n">
        <v>13</v>
      </c>
      <c r="B17" s="10" t="inlineStr">
        <is>
          <t>Documents</t>
        </is>
      </c>
      <c r="C17" s="10" t="inlineStr">
        <is>
          <t>Documents, users creating, storage</t>
        </is>
      </c>
      <c r="D17" s="10" t="inlineStr">
        <is>
          <t>Table</t>
        </is>
      </c>
      <c r="E17" s="10" t="inlineStr">
        <is>
          <t>Content produced by each site</t>
        </is>
      </c>
      <c r="F17" s="10" t="inlineStr">
        <is>
          <t>EDRMS database plus Microsoft Graph</t>
        </is>
      </c>
      <c r="G17" s="10" t="inlineStr">
        <is>
          <t>1 Utilization Report</t>
        </is>
      </c>
      <c r="H17" s="10" t="inlineStr">
        <is>
          <t>FileCreatedDate, FileSize, CreatedBy</t>
        </is>
      </c>
      <c r="I17" s="10" t="inlineStr">
        <is>
          <t>COUNT and SUM per site. Users creating is unavailable for undeclared documents</t>
        </is>
      </c>
      <c r="J17" s="10" t="inlineStr">
        <is>
          <t>Partly</t>
        </is>
      </c>
      <c r="K17" s="10" t="inlineStr">
        <is>
          <t>Partly</t>
        </is>
      </c>
      <c r="L17" s="10" t="inlineStr">
        <is>
          <t>Partly. The declared half is queryable today. The undeclared half needs the weekly SharePoint scan, which is not built</t>
        </is>
      </c>
      <c r="M17" s="10" t="inlineStr">
        <is>
          <t>Medium</t>
        </is>
      </c>
      <c r="N17" s="12" t="inlineStr">
        <is>
          <t>Needs department list</t>
        </is>
      </c>
      <c r="O17" s="10" t="inlineStr">
        <is>
          <t>Ask RAC for the site to department list, roughly 1,057 rows, one department per site URL. Check AvePoint Cloud Governance first, it may already hold it from the site request. Why: this single list unlocks every departmental figure in the report</t>
        </is>
      </c>
    </row>
    <row r="18">
      <c r="A18" s="9" t="n">
        <v>14</v>
      </c>
      <c r="B18" s="10" t="inlineStr">
        <is>
          <t>Declaration</t>
        </is>
      </c>
      <c r="C18" s="10" t="inlineStr">
        <is>
          <t>Records declared and rate per site</t>
        </is>
      </c>
      <c r="D18" s="10" t="inlineStr">
        <is>
          <t>Table</t>
        </is>
      </c>
      <c r="E18" s="10" t="inlineStr">
        <is>
          <t>Declaration performance</t>
        </is>
      </c>
      <c r="F18" s="10" t="inlineStr">
        <is>
          <t>EDRMS database</t>
        </is>
      </c>
      <c r="G18" s="10" t="inlineStr">
        <is>
          <t>1 Utilization Report</t>
        </is>
      </c>
      <c r="H18" s="10" t="inlineStr">
        <is>
          <t>IsDeclaredRecord, SiteUrl</t>
        </is>
      </c>
      <c r="I18" s="10" t="inlineStr">
        <is>
          <t>COUNT(IsDeclaredRecord) / COUNT(*) per site</t>
        </is>
      </c>
      <c r="J18" s="10" t="inlineStr">
        <is>
          <t>Yes</t>
        </is>
      </c>
      <c r="K18" s="10" t="inlineStr">
        <is>
          <t>Partly</t>
        </is>
      </c>
      <c r="L18" s="10" t="inlineStr">
        <is>
          <t>Yes. Query public."Records" in drm-npr and count rows. About 1,990 in UAT</t>
        </is>
      </c>
      <c r="M18" s="10" t="inlineStr">
        <is>
          <t>Easy</t>
        </is>
      </c>
      <c r="N18" s="12" t="inlineStr">
        <is>
          <t>Needs department list</t>
        </is>
      </c>
      <c r="O18" s="10" t="inlineStr">
        <is>
          <t>Ask RAC for the site to department list, roughly 1,057 rows, one department per site URL. Check AvePoint Cloud Governance first, it may already hold it from the site request. Why: this single list unlocks every departmental figure in the report</t>
        </is>
      </c>
    </row>
    <row r="19">
      <c r="A19" s="9" t="n">
        <v>15</v>
      </c>
      <c r="B19" s="10" t="inlineStr">
        <is>
          <t>Declaration</t>
        </is>
      </c>
      <c r="C19" s="10" t="inlineStr">
        <is>
          <t>Division rows under each site</t>
        </is>
      </c>
      <c r="D19" s="10" t="inlineStr">
        <is>
          <t>Drill tier</t>
        </is>
      </c>
      <c r="E19" s="10" t="inlineStr">
        <is>
          <t>The same figures per division</t>
        </is>
      </c>
      <c r="F19" s="10" t="inlineStr">
        <is>
          <t>No source</t>
        </is>
      </c>
      <c r="G19" s="10" t="inlineStr">
        <is>
          <t>1 Utilization Report</t>
        </is>
      </c>
      <c r="H19" s="10" t="inlineStr">
        <is>
          <t>No division column exists</t>
        </is>
      </c>
      <c r="I19" s="10" t="inlineStr">
        <is>
          <t>Would be GROUP BY division within site</t>
        </is>
      </c>
      <c r="J19" s="10" t="inlineStr">
        <is>
          <t>No</t>
        </is>
      </c>
      <c r="K19" s="10" t="inlineStr">
        <is>
          <t>No</t>
        </is>
      </c>
      <c r="L19" s="10" t="inlineStr">
        <is>
          <t>No. Nothing in the tenant holds this</t>
        </is>
      </c>
      <c r="M19" s="10" t="inlineStr">
        <is>
          <t>Easy once supplied</t>
        </is>
      </c>
      <c r="N19" s="13" t="inlineStr">
        <is>
          <t>Needs new data source</t>
        </is>
      </c>
      <c r="O19" s="10" t="inlineStr">
        <is>
          <t>Ask who supplies division alongside department. Why: the tier was reinstated at the client's request but nothing in the tenant populates it, so the RAC list has to carry a division column too</t>
        </is>
      </c>
    </row>
    <row r="20">
      <c r="A20" s="9" t="n">
        <v>16</v>
      </c>
      <c r="B20" s="10" t="inlineStr">
        <is>
          <t>Declaration</t>
        </is>
      </c>
      <c r="C20" s="10" t="inlineStr">
        <is>
          <t>Declaration donut and site ranking</t>
        </is>
      </c>
      <c r="D20" s="10" t="inlineStr">
        <is>
          <t>Chart</t>
        </is>
      </c>
      <c r="E20" s="10" t="inlineStr">
        <is>
          <t>Declared against everything held</t>
        </is>
      </c>
      <c r="F20" s="10" t="inlineStr">
        <is>
          <t>EDRMS database</t>
        </is>
      </c>
      <c r="G20" s="10" t="inlineStr">
        <is>
          <t>1 Utilization Report</t>
        </is>
      </c>
      <c r="H20" s="10" t="inlineStr">
        <is>
          <t>IsDeclaredRecord</t>
        </is>
      </c>
      <c r="I20" s="10" t="inlineStr">
        <is>
          <t>Declared and undeclared as two slices, sites ranked by records</t>
        </is>
      </c>
      <c r="J20" s="10" t="inlineStr">
        <is>
          <t>Yes</t>
        </is>
      </c>
      <c r="K20" s="10" t="inlineStr">
        <is>
          <t>Partly</t>
        </is>
      </c>
      <c r="L20" s="10" t="inlineStr">
        <is>
          <t>Partly. The declared half is queryable today. The undeclared half needs the weekly SharePoint scan, which is not built</t>
        </is>
      </c>
      <c r="M20" s="10" t="inlineStr">
        <is>
          <t>Easy</t>
        </is>
      </c>
      <c r="N20" s="12" t="inlineStr">
        <is>
          <t>Needs department list</t>
        </is>
      </c>
      <c r="O20" s="10" t="inlineStr">
        <is>
          <t>Ask RAC for the site to department list, roughly 1,057 rows, one department per site URL. Check AvePoint Cloud Governance first, it may already hold it from the site request. Why: this single list unlocks every departmental figure in the report</t>
        </is>
      </c>
    </row>
    <row r="21">
      <c r="A21" s="9" t="n">
        <v>17</v>
      </c>
      <c r="B21" s="10" t="inlineStr">
        <is>
          <t>Library usage</t>
        </is>
      </c>
      <c r="C21" s="10" t="inlineStr">
        <is>
          <t>Libraries by file plan category</t>
        </is>
      </c>
      <c r="D21" s="10" t="inlineStr">
        <is>
          <t>Table</t>
        </is>
      </c>
      <c r="E21" s="10" t="inlineStr">
        <is>
          <t>Content by classification</t>
        </is>
      </c>
      <c r="F21" s="10" t="inlineStr">
        <is>
          <t>EDRMS database plus Term store</t>
        </is>
      </c>
      <c r="G21" s="10" t="inlineStr">
        <is>
          <t>1 Utilization Report and 4 File Plan</t>
        </is>
      </c>
      <c r="H21" s="10" t="inlineStr">
        <is>
          <t>LibraryName, ListId, CategoryName</t>
        </is>
      </c>
      <c r="I21" s="10" t="inlineStr">
        <is>
          <t>GROUP BY ListId, grouped under the file plan category the library maps to</t>
        </is>
      </c>
      <c r="J21" s="10" t="inlineStr">
        <is>
          <t>No join exists</t>
        </is>
      </c>
      <c r="K21" s="10" t="inlineStr">
        <is>
          <t>No</t>
        </is>
      </c>
      <c r="L21" s="10" t="inlineStr">
        <is>
          <t>No. Nothing in the tenant holds this</t>
        </is>
      </c>
      <c r="M21" s="10" t="inlineStr">
        <is>
          <t>Blocked</t>
        </is>
      </c>
      <c r="N21" s="15" t="inlineStr">
        <is>
          <t>Needs new column or join</t>
        </is>
      </c>
      <c r="O21" s="10" t="inlineStr">
        <is>
          <t>Ask where the institutional file plan actually lives. It is in neither the term store, which holds 6 dropdown value sets and 16 terms one level deep, nor Purview, which holds 53 flat retention labels. Why: a whole dashboard waits on the answer. Also Ask the development team to add a term reference to the document row, or supply a term to library mapping list. Why: nothing links a term to a document, so no per term figure can be produced even once the file plan is located</t>
        </is>
      </c>
    </row>
    <row r="22">
      <c r="A22" s="9" t="n">
        <v>18</v>
      </c>
      <c r="B22" s="10" t="inlineStr">
        <is>
          <t>Library usage</t>
        </is>
      </c>
      <c r="C22" s="10" t="inlineStr">
        <is>
          <t>Users per library</t>
        </is>
      </c>
      <c r="D22" s="10" t="inlineStr">
        <is>
          <t>Table column</t>
        </is>
      </c>
      <c r="E22" s="10" t="inlineStr">
        <is>
          <t>People working in each library</t>
        </is>
      </c>
      <c r="F22" s="10" t="inlineStr">
        <is>
          <t>No source</t>
        </is>
      </c>
      <c r="G22" s="10" t="inlineStr">
        <is>
          <t>None</t>
        </is>
      </c>
      <c r="H22" s="10" t="inlineStr">
        <is>
          <t>No column exists</t>
        </is>
      </c>
      <c r="I22" s="10" t="inlineStr">
        <is>
          <t>SharePoint reports viewers per site, never per library</t>
        </is>
      </c>
      <c r="J22" s="10" t="inlineStr">
        <is>
          <t>No</t>
        </is>
      </c>
      <c r="K22" s="10" t="inlineStr">
        <is>
          <t>No</t>
        </is>
      </c>
      <c r="L22" s="10" t="inlineStr">
        <is>
          <t>No. Nothing in the tenant holds this</t>
        </is>
      </c>
      <c r="M22" s="10" t="inlineStr">
        <is>
          <t>Blocked</t>
        </is>
      </c>
      <c r="N22" s="13" t="inlineStr">
        <is>
          <t>Needs new data source</t>
        </is>
      </c>
      <c r="O22" s="10" t="inlineStr">
        <is>
          <t>Tell the client this is not available at library grain. Why: Microsoft exposes no per library viewer feed</t>
        </is>
      </c>
    </row>
    <row r="23">
      <c r="A23" s="9" t="n">
        <v>19</v>
      </c>
      <c r="B23" s="10" t="inlineStr">
        <is>
          <t>Trend</t>
        </is>
      </c>
      <c r="C23" s="10" t="inlineStr">
        <is>
          <t>Records declared by month</t>
        </is>
      </c>
      <c r="D23" s="10" t="inlineStr">
        <is>
          <t>Chart</t>
        </is>
      </c>
      <c r="E23" s="10" t="inlineStr">
        <is>
          <t>The department's declaration trend</t>
        </is>
      </c>
      <c r="F23" s="10" t="inlineStr">
        <is>
          <t>EDRMS database</t>
        </is>
      </c>
      <c r="G23" s="10" t="inlineStr">
        <is>
          <t>1 Utilization Report</t>
        </is>
      </c>
      <c r="H23" s="10" t="inlineStr">
        <is>
          <t>CreatedDate, ADBDepartmentOwner</t>
        </is>
      </c>
      <c r="I23" s="10" t="inlineStr">
        <is>
          <t>COUNT GROUP BY month, filtered to the department</t>
        </is>
      </c>
      <c r="J23" s="10" t="inlineStr">
        <is>
          <t>Yes</t>
        </is>
      </c>
      <c r="K23" s="10" t="inlineStr">
        <is>
          <t>Partly</t>
        </is>
      </c>
      <c r="L23" s="10" t="inlineStr">
        <is>
          <t>Not until the department list exists. The measure itself is testable bank-wide today</t>
        </is>
      </c>
      <c r="M23" s="10" t="inlineStr">
        <is>
          <t>Easy</t>
        </is>
      </c>
      <c r="N23" s="12" t="inlineStr">
        <is>
          <t>Needs department list</t>
        </is>
      </c>
      <c r="O23" s="10" t="inlineStr">
        <is>
          <t>Ask RAC for the site to department list, roughly 1,057 rows, one department per site URL. Check AvePoint Cloud Governance first, it may already hold it from the site request. Why: this single list unlocks every departmental figure in the report</t>
        </is>
      </c>
    </row>
    <row r="24">
      <c r="A24" s="9" t="n">
        <v>20</v>
      </c>
      <c r="B24" s="10" t="inlineStr">
        <is>
          <t>Disposal</t>
        </is>
      </c>
      <c r="C24" s="10" t="inlineStr">
        <is>
          <t>Records due by library, approver, status</t>
        </is>
      </c>
      <c r="D24" s="10" t="inlineStr">
        <is>
          <t>Table</t>
        </is>
      </c>
      <c r="E24" s="10" t="inlineStr">
        <is>
          <t>Disposal readiness</t>
        </is>
      </c>
      <c r="F24" s="10" t="inlineStr">
        <is>
          <t>EDRMS database</t>
        </is>
      </c>
      <c r="G24" s="10" t="inlineStr">
        <is>
          <t>1 Utilization Report</t>
        </is>
      </c>
      <c r="H24" s="10" t="inlineStr">
        <is>
          <t>EDRMSDueDateForDisposal, LibraryName</t>
        </is>
      </c>
      <c r="I24" s="10" t="inlineStr">
        <is>
          <t>COUNT and MIN per library. Approver and status have no source</t>
        </is>
      </c>
      <c r="J24" s="10" t="inlineStr">
        <is>
          <t>Partly</t>
        </is>
      </c>
      <c r="K24" s="10" t="inlineStr">
        <is>
          <t>Partly</t>
        </is>
      </c>
      <c r="L24" s="10" t="inlineStr">
        <is>
          <t>Partly. Due dates yes, approver and status no</t>
        </is>
      </c>
      <c r="M24" s="10" t="inlineStr">
        <is>
          <t>Medium</t>
        </is>
      </c>
      <c r="N24" s="16" t="inlineStr">
        <is>
          <t>Needs application change</t>
        </is>
      </c>
      <c r="O24" s="10" t="inlineStr">
        <is>
          <t>Raise a change request for a disposal status field: status, approver, and date disposed. Why: nothing records that a disposal happened, so every completion figure is unanswerable</t>
        </is>
      </c>
    </row>
    <row r="25">
      <c r="A25" s="9" t="n">
        <v>21</v>
      </c>
      <c r="B25" s="10" t="inlineStr">
        <is>
          <t>Conventions</t>
        </is>
      </c>
      <c r="C25" s="10" t="inlineStr">
        <is>
          <t>Convention link, approval date, version</t>
        </is>
      </c>
      <c r="D25" s="10" t="inlineStr">
        <is>
          <t>Panel</t>
        </is>
      </c>
      <c r="E25" s="10" t="inlineStr">
        <is>
          <t>The department's naming convention</t>
        </is>
      </c>
      <c r="F25" s="10" t="inlineStr">
        <is>
          <t>No source</t>
        </is>
      </c>
      <c r="G25" s="10" t="inlineStr">
        <is>
          <t>None</t>
        </is>
      </c>
      <c r="H25" s="10" t="inlineStr">
        <is>
          <t>No column exists</t>
        </is>
      </c>
      <c r="I25" s="10" t="inlineStr">
        <is>
          <t>A maintained list, one row per department</t>
        </is>
      </c>
      <c r="J25" s="10" t="inlineStr">
        <is>
          <t>No</t>
        </is>
      </c>
      <c r="K25" s="10" t="inlineStr">
        <is>
          <t>No</t>
        </is>
      </c>
      <c r="L25" s="10" t="inlineStr">
        <is>
          <t>No. Nothing in the tenant holds this</t>
        </is>
      </c>
      <c r="M25" s="10" t="inlineStr">
        <is>
          <t>Blocked</t>
        </is>
      </c>
      <c r="N25" s="14" t="inlineStr">
        <is>
          <t>Needs reference list</t>
        </is>
      </c>
      <c r="O25" s="10" t="inlineStr">
        <is>
          <t>Ask who maintains this list and where it will live. Why: it is not a measurement, nothing can generate it, and without an owner the panel stays empty</t>
        </is>
      </c>
    </row>
    <row r="26">
      <c r="A26" s="9" t="n">
        <v>22</v>
      </c>
      <c r="B26" s="10" t="inlineStr">
        <is>
          <t>Programme dates</t>
        </is>
      </c>
      <c r="C26" s="10" t="inlineStr">
        <is>
          <t>Audit, review, training, CoP dates</t>
        </is>
      </c>
      <c r="D26" s="10" t="inlineStr">
        <is>
          <t>Panel</t>
        </is>
      </c>
      <c r="E26" s="10" t="inlineStr">
        <is>
          <t>The records management calendar</t>
        </is>
      </c>
      <c r="F26" s="10" t="inlineStr">
        <is>
          <t>No source</t>
        </is>
      </c>
      <c r="G26" s="10" t="inlineStr">
        <is>
          <t>None</t>
        </is>
      </c>
      <c r="H26" s="10" t="inlineStr">
        <is>
          <t>No column exists</t>
        </is>
      </c>
      <c r="I26" s="10" t="inlineStr">
        <is>
          <t>A maintained list, five dates per department</t>
        </is>
      </c>
      <c r="J26" s="10" t="inlineStr">
        <is>
          <t>No</t>
        </is>
      </c>
      <c r="K26" s="10" t="inlineStr">
        <is>
          <t>No</t>
        </is>
      </c>
      <c r="L26" s="10" t="inlineStr">
        <is>
          <t>No. Nothing in the tenant holds this</t>
        </is>
      </c>
      <c r="M26" s="10" t="inlineStr">
        <is>
          <t>Blocked</t>
        </is>
      </c>
      <c r="N26" s="14" t="inlineStr">
        <is>
          <t>Needs reference list</t>
        </is>
      </c>
      <c r="O26" s="10" t="inlineStr">
        <is>
          <t>Ask who maintains this list and where it will live. Why: it is not a measurement, nothing can generate it, and without an owner the panel stays empty</t>
        </is>
      </c>
    </row>
  </sheetData>
  <autoFilter ref="A4:O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Project Insights</t>
        </is>
      </c>
      <c r="B1" s="6" t="n"/>
      <c r="C1" s="6" t="n"/>
      <c r="D1" s="6" t="n"/>
      <c r="E1" s="6" t="n"/>
      <c r="F1" s="6" t="n"/>
      <c r="G1" s="6" t="n"/>
      <c r="H1" s="6" t="n"/>
      <c r="I1" s="6" t="n"/>
      <c r="J1" s="6" t="n"/>
      <c r="K1" s="6" t="n"/>
      <c r="L1" s="6" t="n"/>
      <c r="M1" s="6" t="n"/>
      <c r="N1" s="6" t="n"/>
      <c r="O1" s="6" t="n"/>
    </row>
    <row r="2" ht="16" customHeight="1">
      <c r="A2" s="7" t="inlineStr">
        <is>
          <t>Client design: PPT s36, s37, s38.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Classification</t>
        </is>
      </c>
      <c r="C5" s="10" t="inlineStr">
        <is>
          <t>Which sites are project sites</t>
        </is>
      </c>
      <c r="D5" s="10" t="inlineStr">
        <is>
          <t>Filter</t>
        </is>
      </c>
      <c r="E5" s="10" t="inlineStr">
        <is>
          <t>The population this dashboard reports on</t>
        </is>
      </c>
      <c r="F5" s="10" t="inlineStr">
        <is>
          <t>No source</t>
        </is>
      </c>
      <c r="G5" s="10" t="inlineStr">
        <is>
          <t>2 Site Activity</t>
        </is>
      </c>
      <c r="H5" s="10" t="inlineStr">
        <is>
          <t>No column exists</t>
        </is>
      </c>
      <c r="I5" s="10" t="inlineStr">
        <is>
          <t>Would be a project register loaded onto the site row, the same way department will be</t>
        </is>
      </c>
      <c r="J5" s="10" t="inlineStr">
        <is>
          <t>No</t>
        </is>
      </c>
      <c r="K5" s="10" t="inlineStr">
        <is>
          <t>No</t>
        </is>
      </c>
      <c r="L5" s="10" t="inlineStr">
        <is>
          <t>No. Nothing in the tenant holds this</t>
        </is>
      </c>
      <c r="M5" s="10" t="inlineStr">
        <is>
          <t>Blocked</t>
        </is>
      </c>
      <c r="N5" s="13" t="inlineStr">
        <is>
          <t>Needs new data source</t>
        </is>
      </c>
      <c r="O5"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6">
      <c r="A6" s="9" t="n">
        <v>2</v>
      </c>
      <c r="B6" s="10" t="inlineStr">
        <is>
          <t>Classification</t>
        </is>
      </c>
      <c r="C6" s="10" t="inlineStr">
        <is>
          <t>Sovereign against nonsovereign</t>
        </is>
      </c>
      <c r="D6" s="10" t="inlineStr">
        <is>
          <t>Filter</t>
        </is>
      </c>
      <c r="E6" s="10" t="inlineStr">
        <is>
          <t>Facility type of each project</t>
        </is>
      </c>
      <c r="F6" s="10" t="inlineStr">
        <is>
          <t>No source</t>
        </is>
      </c>
      <c r="G6" s="10" t="inlineStr">
        <is>
          <t>2 Site Activity</t>
        </is>
      </c>
      <c r="H6" s="10" t="inlineStr">
        <is>
          <t>No column exists</t>
        </is>
      </c>
      <c r="I6" s="10" t="inlineStr">
        <is>
          <t>Would come with the project register</t>
        </is>
      </c>
      <c r="J6" s="10" t="inlineStr">
        <is>
          <t>No</t>
        </is>
      </c>
      <c r="K6" s="10" t="inlineStr">
        <is>
          <t>No</t>
        </is>
      </c>
      <c r="L6" s="10" t="inlineStr">
        <is>
          <t>No. Nothing in the tenant holds this</t>
        </is>
      </c>
      <c r="M6" s="10" t="inlineStr">
        <is>
          <t>Blocked</t>
        </is>
      </c>
      <c r="N6" s="13" t="inlineStr">
        <is>
          <t>Needs new data source</t>
        </is>
      </c>
      <c r="O6"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7">
      <c r="A7" s="9" t="n">
        <v>3</v>
      </c>
      <c r="B7" s="10" t="inlineStr">
        <is>
          <t>Projects</t>
        </is>
      </c>
      <c r="C7" s="10" t="inlineStr">
        <is>
          <t>Project number and name</t>
        </is>
      </c>
      <c r="D7" s="10" t="inlineStr">
        <is>
          <t>Table</t>
        </is>
      </c>
      <c r="E7" s="10" t="inlineStr">
        <is>
          <t>The list of projects</t>
        </is>
      </c>
      <c r="F7" s="10" t="inlineStr">
        <is>
          <t>No source</t>
        </is>
      </c>
      <c r="G7" s="10" t="inlineStr">
        <is>
          <t>2 Site Activity</t>
        </is>
      </c>
      <c r="H7" s="10" t="inlineStr">
        <is>
          <t>No column exists</t>
        </is>
      </c>
      <c r="I7" s="10" t="inlineStr">
        <is>
          <t>ADB operational data, held in ADB project systems</t>
        </is>
      </c>
      <c r="J7" s="10" t="inlineStr">
        <is>
          <t>No</t>
        </is>
      </c>
      <c r="K7" s="10" t="inlineStr">
        <is>
          <t>No</t>
        </is>
      </c>
      <c r="L7" s="10" t="inlineStr">
        <is>
          <t>No. Nothing in the tenant holds this</t>
        </is>
      </c>
      <c r="M7" s="10" t="inlineStr">
        <is>
          <t>Blocked</t>
        </is>
      </c>
      <c r="N7" s="13" t="inlineStr">
        <is>
          <t>Needs new data source</t>
        </is>
      </c>
      <c r="O7"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8">
      <c r="A8" s="9" t="n">
        <v>4</v>
      </c>
      <c r="B8" s="10" t="inlineStr">
        <is>
          <t>Projects</t>
        </is>
      </c>
      <c r="C8" s="10" t="inlineStr">
        <is>
          <t>Sites, documents, records, counterparts, due</t>
        </is>
      </c>
      <c r="D8" s="10" t="inlineStr">
        <is>
          <t>Table column</t>
        </is>
      </c>
      <c r="E8" s="10" t="inlineStr">
        <is>
          <t>What each project holds</t>
        </is>
      </c>
      <c r="F8" s="10" t="inlineStr">
        <is>
          <t>EDRMS database</t>
        </is>
      </c>
      <c r="G8" s="10" t="inlineStr">
        <is>
          <t>1 Utilization Report and 2 Site Activity</t>
        </is>
      </c>
      <c r="H8" s="10" t="inlineStr">
        <is>
          <t>All the standard measures</t>
        </is>
      </c>
      <c r="I8" s="10" t="inlineStr">
        <is>
          <t>Every one of these is producible today for any site we can identify. Only the classification is missing</t>
        </is>
      </c>
      <c r="J8" s="10" t="inlineStr">
        <is>
          <t>Yes</t>
        </is>
      </c>
      <c r="K8" s="10" t="inlineStr">
        <is>
          <t>Partly</t>
        </is>
      </c>
      <c r="L8" s="10" t="inlineStr">
        <is>
          <t>Yes, once a site can be identified as belonging to a project</t>
        </is>
      </c>
      <c r="M8" s="10" t="inlineStr">
        <is>
          <t>Easy</t>
        </is>
      </c>
      <c r="N8" s="13" t="inlineStr">
        <is>
          <t>Needs new data source</t>
        </is>
      </c>
      <c r="O8"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9">
      <c r="A9" s="9" t="n">
        <v>5</v>
      </c>
      <c r="B9" s="10" t="inlineStr">
        <is>
          <t>Profile</t>
        </is>
      </c>
      <c r="C9" s="10" t="inlineStr">
        <is>
          <t>Facility type, modality, country, status, dates</t>
        </is>
      </c>
      <c r="D9" s="10" t="inlineStr">
        <is>
          <t>Panel</t>
        </is>
      </c>
      <c r="E9" s="10" t="inlineStr">
        <is>
          <t>The project's own attributes</t>
        </is>
      </c>
      <c r="F9" s="10" t="inlineStr">
        <is>
          <t>No source</t>
        </is>
      </c>
      <c r="G9" s="10" t="inlineStr">
        <is>
          <t>None</t>
        </is>
      </c>
      <c r="H9" s="10" t="inlineStr">
        <is>
          <t>No column exists</t>
        </is>
      </c>
      <c r="I9" s="10" t="inlineStr">
        <is>
          <t>ADB operational data. ProjectEndDate on the site table is the only project field held</t>
        </is>
      </c>
      <c r="J9" s="10" t="inlineStr">
        <is>
          <t>One field of eight</t>
        </is>
      </c>
      <c r="K9" s="10" t="inlineStr">
        <is>
          <t>No</t>
        </is>
      </c>
      <c r="L9" s="10" t="inlineStr">
        <is>
          <t>No. Nothing in the tenant holds this</t>
        </is>
      </c>
      <c r="M9" s="10" t="inlineStr">
        <is>
          <t>Blocked</t>
        </is>
      </c>
      <c r="N9" s="13" t="inlineStr">
        <is>
          <t>Needs new data source</t>
        </is>
      </c>
      <c r="O9" s="10" t="inlineStr">
        <is>
          <t>Ask whether a project site register exists: site URL to project number, and sovereign or nonsovereign. Check Cloud Governance first. Why: it is the only thing missing for the whole Project Insights dashboard, every measure on it is already producible</t>
        </is>
      </c>
    </row>
    <row r="10">
      <c r="A10" s="9" t="n">
        <v>6</v>
      </c>
      <c r="B10" s="10" t="inlineStr">
        <is>
          <t>Profile</t>
        </is>
      </c>
      <c r="C10" s="10" t="inlineStr">
        <is>
          <t>Declaration and counterpart donuts</t>
        </is>
      </c>
      <c r="D10" s="10" t="inlineStr">
        <is>
          <t>Chart</t>
        </is>
      </c>
      <c r="E10" s="10" t="inlineStr">
        <is>
          <t>Recordkeeping for one project</t>
        </is>
      </c>
      <c r="F10" s="10" t="inlineStr">
        <is>
          <t>EDRMS database</t>
        </is>
      </c>
      <c r="G10" s="10" t="inlineStr">
        <is>
          <t>1 Utilization Report</t>
        </is>
      </c>
      <c r="H10" s="10" t="inlineStr">
        <is>
          <t>IsDeclaredRecord, HasPhysical</t>
        </is>
      </c>
      <c r="I10" s="10" t="inlineStr">
        <is>
          <t>Two slice donuts over the project's documents</t>
        </is>
      </c>
      <c r="J10" s="10" t="inlineStr">
        <is>
          <t>Yes</t>
        </is>
      </c>
      <c r="K10" s="10" t="inlineStr">
        <is>
          <t>Partly</t>
        </is>
      </c>
      <c r="L10" s="10" t="inlineStr">
        <is>
          <t>Yes, once the project's sites are known</t>
        </is>
      </c>
      <c r="M10" s="10" t="inlineStr">
        <is>
          <t>Easy</t>
        </is>
      </c>
      <c r="N10" s="13" t="inlineStr">
        <is>
          <t>Needs new data source</t>
        </is>
      </c>
      <c r="O10" s="10" t="inlineStr">
        <is>
          <t>Ask whether a project site register exists: site URL to project number, and sovereign or nonsovereign. Check Cloud Governance first. Why: it is the only thing missing for the whole Project Insights dashboard, every measure on it is already producible</t>
        </is>
      </c>
    </row>
  </sheetData>
  <autoFilter ref="A4:O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Institutional File Plan Insights</t>
        </is>
      </c>
      <c r="B1" s="6" t="n"/>
      <c r="C1" s="6" t="n"/>
      <c r="D1" s="6" t="n"/>
      <c r="E1" s="6" t="n"/>
      <c r="F1" s="6" t="n"/>
      <c r="G1" s="6" t="n"/>
      <c r="H1" s="6" t="n"/>
      <c r="I1" s="6" t="n"/>
      <c r="J1" s="6" t="n"/>
      <c r="K1" s="6" t="n"/>
      <c r="L1" s="6" t="n"/>
      <c r="M1" s="6" t="n"/>
      <c r="N1" s="6" t="n"/>
      <c r="O1" s="6" t="n"/>
    </row>
    <row r="2" ht="16" customHeight="1">
      <c r="A2" s="7" t="inlineStr">
        <is>
          <t>Client design: PPT s29 to s31, s47 to s52.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Structure</t>
        </is>
      </c>
      <c r="C5" s="10" t="inlineStr">
        <is>
          <t>The five categories</t>
        </is>
      </c>
      <c r="D5" s="10" t="inlineStr">
        <is>
          <t>KPI and table</t>
        </is>
      </c>
      <c r="E5" s="10" t="inlineStr">
        <is>
          <t>Top level groups of the file plan</t>
        </is>
      </c>
      <c r="F5" s="10" t="inlineStr">
        <is>
          <t>Term store</t>
        </is>
      </c>
      <c r="G5" s="10" t="inlineStr">
        <is>
          <t>4 File Plan</t>
        </is>
      </c>
      <c r="H5" s="10" t="inlineStr">
        <is>
          <t>CategoryName, TermName, TermSetName, Depth</t>
        </is>
      </c>
      <c r="I5" s="10" t="inlineStr">
        <is>
          <t>GET /termStore/groups, then /sets, then /children, walking one level at a time</t>
        </is>
      </c>
      <c r="J5" s="10" t="inlineStr">
        <is>
          <t>Yes, unverified</t>
        </is>
      </c>
      <c r="K5" s="10" t="inlineStr">
        <is>
          <t>No</t>
        </is>
      </c>
      <c r="L5" s="10" t="inlineStr">
        <is>
          <t>Partly. The term store is readable, but it does not hold this file plan. It holds 6 dropdown value sets, 16 terms, one level deep</t>
        </is>
      </c>
      <c r="M5" s="10" t="inlineStr">
        <is>
          <t>Medium</t>
        </is>
      </c>
      <c r="N5" s="17" t="inlineStr">
        <is>
          <t>Decision needed</t>
        </is>
      </c>
      <c r="O5" s="10" t="inlineStr">
        <is>
          <t>Ask where the institutional file plan actually lives. It is in neither the term store, which holds 6 dropdown value sets and 16 terms one level deep, nor Purview, which holds 53 flat retention labels. Why: a whole dashboard waits on the answer</t>
        </is>
      </c>
    </row>
    <row r="6">
      <c r="A6" s="9" t="n">
        <v>2</v>
      </c>
      <c r="B6" s="10" t="inlineStr">
        <is>
          <t>Structure</t>
        </is>
      </c>
      <c r="C6" s="10" t="inlineStr">
        <is>
          <t>Total terms, terms per category</t>
        </is>
      </c>
      <c r="D6" s="10" t="inlineStr">
        <is>
          <t>KPI</t>
        </is>
      </c>
      <c r="E6" s="10" t="inlineStr">
        <is>
          <t>Size of the plan</t>
        </is>
      </c>
      <c r="F6" s="10" t="inlineStr">
        <is>
          <t>Term store</t>
        </is>
      </c>
      <c r="G6" s="10" t="inlineStr">
        <is>
          <t>4 File Plan</t>
        </is>
      </c>
      <c r="H6" s="10" t="inlineStr">
        <is>
          <t>TermId, CategoryName</t>
        </is>
      </c>
      <c r="I6" s="10" t="inlineStr">
        <is>
          <t>COUNT(*) GROUP BY CategoryName</t>
        </is>
      </c>
      <c r="J6" s="10" t="inlineStr">
        <is>
          <t>Yes</t>
        </is>
      </c>
      <c r="K6" s="10" t="inlineStr">
        <is>
          <t>No</t>
        </is>
      </c>
      <c r="L6" s="10" t="inlineStr">
        <is>
          <t>Yes for whatever the term store holds, which is not the file plan</t>
        </is>
      </c>
      <c r="M6" s="10" t="inlineStr">
        <is>
          <t>Easy</t>
        </is>
      </c>
      <c r="N6" s="17" t="inlineStr">
        <is>
          <t>Decision needed</t>
        </is>
      </c>
      <c r="O6" s="10" t="inlineStr">
        <is>
          <t>Ask where the institutional file plan actually lives. It is in neither the term store, which holds 6 dropdown value sets and 16 terms one level deep, nor Purview, which holds 53 flat retention labels. Why: a whole dashboard waits on the answer</t>
        </is>
      </c>
    </row>
    <row r="7">
      <c r="A7" s="9" t="n">
        <v>3</v>
      </c>
      <c r="B7" s="10" t="inlineStr">
        <is>
          <t>Term tables</t>
        </is>
      </c>
      <c r="C7" s="10" t="inlineStr">
        <is>
          <t>Documents, records, counterparts per term</t>
        </is>
      </c>
      <c r="D7" s="10" t="inlineStr">
        <is>
          <t>Table column</t>
        </is>
      </c>
      <c r="E7" s="10" t="inlineStr">
        <is>
          <t>How heavily each term is used</t>
        </is>
      </c>
      <c r="F7" s="10" t="inlineStr">
        <is>
          <t>No source</t>
        </is>
      </c>
      <c r="G7" s="10" t="inlineStr">
        <is>
          <t>1 Utilization Report to 4 File Plan</t>
        </is>
      </c>
      <c r="H7" s="10" t="inlineStr">
        <is>
          <t>No join key exists</t>
        </is>
      </c>
      <c r="I7" s="10" t="inlineStr">
        <is>
          <t>Would be COUNT over documents GROUP BY term. Table 4 has no join key and Table 1 carries no TermId</t>
        </is>
      </c>
      <c r="J7" s="10" t="inlineStr">
        <is>
          <t>No</t>
        </is>
      </c>
      <c r="K7" s="10" t="inlineStr">
        <is>
          <t>No</t>
        </is>
      </c>
      <c r="L7" s="10" t="inlineStr">
        <is>
          <t>No. Nothing in the tenant holds this</t>
        </is>
      </c>
      <c r="M7" s="10" t="inlineStr">
        <is>
          <t>Blocked</t>
        </is>
      </c>
      <c r="N7" s="15" t="inlineStr">
        <is>
          <t>Needs new column or join</t>
        </is>
      </c>
      <c r="O7" s="10" t="inlineStr">
        <is>
          <t>Ask the development team to add a term reference to the document row, or supply a term to library mapping list. Why: nothing links a term to a document, so no per term figure can be produced even once the file plan is located</t>
        </is>
      </c>
    </row>
    <row r="8">
      <c r="A8" s="9" t="n">
        <v>4</v>
      </c>
      <c r="B8" s="10" t="inlineStr">
        <is>
          <t>Term tables</t>
        </is>
      </c>
      <c r="C8" s="10" t="inlineStr">
        <is>
          <t>Libraries and departments provisioned per term</t>
        </is>
      </c>
      <c r="D8" s="10" t="inlineStr">
        <is>
          <t>Table column</t>
        </is>
      </c>
      <c r="E8" s="10" t="inlineStr">
        <is>
          <t>Reach of each term</t>
        </is>
      </c>
      <c r="F8" s="10" t="inlineStr">
        <is>
          <t>No source</t>
        </is>
      </c>
      <c r="G8" s="10" t="inlineStr">
        <is>
          <t>4 File Plan</t>
        </is>
      </c>
      <c r="H8" s="10" t="inlineStr">
        <is>
          <t>No join key exists</t>
        </is>
      </c>
      <c r="I8" s="10" t="inlineStr">
        <is>
          <t>Same missing link, plus the department list</t>
        </is>
      </c>
      <c r="J8" s="10" t="inlineStr">
        <is>
          <t>No</t>
        </is>
      </c>
      <c r="K8" s="10" t="inlineStr">
        <is>
          <t>No</t>
        </is>
      </c>
      <c r="L8" s="10" t="inlineStr">
        <is>
          <t>No. Nothing in the tenant holds this</t>
        </is>
      </c>
      <c r="M8" s="10" t="inlineStr">
        <is>
          <t>Blocked</t>
        </is>
      </c>
      <c r="N8" s="15" t="inlineStr">
        <is>
          <t>Needs new column or join</t>
        </is>
      </c>
      <c r="O8" s="10" t="inlineStr">
        <is>
          <t>Ask the development team to add a term reference to the document row, or supply a term to library mapping list. Why: nothing links a term to a document, so no per term figure can be produced even once the file plan is located. Also Ask RAC for the site to department list, roughly 1,057 rows, one department per site URL. Check AvePoint Cloud Governance first, it may already hold it from the site request. Why: this single list unlocks every departmental figure in the report</t>
        </is>
      </c>
    </row>
    <row r="9">
      <c r="A9" s="9" t="n">
        <v>5</v>
      </c>
      <c r="B9" s="10" t="inlineStr">
        <is>
          <t>Term usage</t>
        </is>
      </c>
      <c r="C9" s="10" t="inlineStr">
        <is>
          <t>Most used and least used terms</t>
        </is>
      </c>
      <c r="D9" s="10" t="inlineStr">
        <is>
          <t>Chart</t>
        </is>
      </c>
      <c r="E9" s="10" t="inlineStr">
        <is>
          <t>Usage pattern across the plan</t>
        </is>
      </c>
      <c r="F9" s="10" t="inlineStr">
        <is>
          <t>No source</t>
        </is>
      </c>
      <c r="G9" s="10" t="inlineStr">
        <is>
          <t>1 Utilization Report to 4 File Plan</t>
        </is>
      </c>
      <c r="H9" s="10" t="inlineStr">
        <is>
          <t>No join key exists</t>
        </is>
      </c>
      <c r="I9" s="10" t="inlineStr">
        <is>
          <t>Ordered COUNT per term, once the join exists</t>
        </is>
      </c>
      <c r="J9" s="10" t="inlineStr">
        <is>
          <t>No</t>
        </is>
      </c>
      <c r="K9" s="10" t="inlineStr">
        <is>
          <t>No</t>
        </is>
      </c>
      <c r="L9" s="10" t="inlineStr">
        <is>
          <t>No. Nothing in the tenant holds this</t>
        </is>
      </c>
      <c r="M9" s="10" t="inlineStr">
        <is>
          <t>Blocked</t>
        </is>
      </c>
      <c r="N9" s="15" t="inlineStr">
        <is>
          <t>Needs new column or join</t>
        </is>
      </c>
      <c r="O9" s="10" t="inlineStr">
        <is>
          <t>Ask the development team to add a term reference to the document row, or supply a term to library mapping list. Why: nothing links a term to a document, so no per term figure can be produced even once the file plan is located</t>
        </is>
      </c>
    </row>
    <row r="10">
      <c r="A10" s="9" t="n">
        <v>6</v>
      </c>
      <c r="B10" s="10" t="inlineStr">
        <is>
          <t>Classification</t>
        </is>
      </c>
      <c r="C10" s="10" t="inlineStr">
        <is>
          <t>Records by classification</t>
        </is>
      </c>
      <c r="D10" s="10" t="inlineStr">
        <is>
          <t>Tile</t>
        </is>
      </c>
      <c r="E10" s="10" t="inlineStr">
        <is>
          <t>Declared records by file plan term</t>
        </is>
      </c>
      <c r="F10" s="10" t="inlineStr">
        <is>
          <t>No source</t>
        </is>
      </c>
      <c r="G10" s="10" t="inlineStr">
        <is>
          <t>1 Utilization Report</t>
        </is>
      </c>
      <c r="H10" s="10" t="inlineStr">
        <is>
          <t>No term reference exists</t>
        </is>
      </c>
      <c r="I10" s="10" t="inlineStr">
        <is>
          <t>The term table read the other way round</t>
        </is>
      </c>
      <c r="J10" s="10" t="inlineStr">
        <is>
          <t>No</t>
        </is>
      </c>
      <c r="K10" s="10" t="inlineStr">
        <is>
          <t>No</t>
        </is>
      </c>
      <c r="L10" s="10" t="inlineStr">
        <is>
          <t>No. Nothing in the tenant holds this</t>
        </is>
      </c>
      <c r="M10" s="10" t="inlineStr">
        <is>
          <t>Blocked</t>
        </is>
      </c>
      <c r="N10" s="15" t="inlineStr">
        <is>
          <t>Needs new column or join</t>
        </is>
      </c>
      <c r="O10" s="10" t="inlineStr">
        <is>
          <t>Ask the development team to add a term reference to the document row, or supply a term to library mapping list. Why: nothing links a term to a document, so no per term figure can be produced even once the file plan is located</t>
        </is>
      </c>
    </row>
    <row r="11">
      <c r="A11" s="9" t="n">
        <v>7</v>
      </c>
      <c r="B11" s="10" t="inlineStr">
        <is>
          <t>Classification</t>
        </is>
      </c>
      <c r="C11" s="10" t="inlineStr">
        <is>
          <t>Records by business process</t>
        </is>
      </c>
      <c r="D11" s="10" t="inlineStr">
        <is>
          <t>Tile</t>
        </is>
      </c>
      <c r="E11" s="10" t="inlineStr">
        <is>
          <t>Declared records by business activity</t>
        </is>
      </c>
      <c r="F11" s="10" t="inlineStr">
        <is>
          <t>No source</t>
        </is>
      </c>
      <c r="G11" s="10" t="inlineStr">
        <is>
          <t>None</t>
        </is>
      </c>
      <c r="H11" s="10" t="inlineStr">
        <is>
          <t>No column exists, and no definition exists</t>
        </is>
      </c>
      <c r="I11" s="10" t="inlineStr">
        <is>
          <t>Needs both the term join and a definition of what a business process is in ADB terms</t>
        </is>
      </c>
      <c r="J11" s="10" t="inlineStr">
        <is>
          <t>No</t>
        </is>
      </c>
      <c r="K11" s="10" t="inlineStr">
        <is>
          <t>No</t>
        </is>
      </c>
      <c r="L11" s="10" t="inlineStr">
        <is>
          <t>No. Nothing in the tenant holds this</t>
        </is>
      </c>
      <c r="M11" s="10" t="inlineStr">
        <is>
          <t>Blocked</t>
        </is>
      </c>
      <c r="N11" s="17" t="inlineStr">
        <is>
          <t>Decision needed</t>
        </is>
      </c>
      <c r="O11" s="10" t="inlineStr">
        <is>
          <t>Ask what a business process is and how it relates to a file plan term. The two are not the same thing and the requirement names it once without defining it. Why: it cannot be counted until somebody says what it counts</t>
        </is>
      </c>
    </row>
  </sheetData>
  <autoFilter ref="A4:O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Retention and Disposal Insights</t>
        </is>
      </c>
      <c r="B1" s="6" t="n"/>
      <c r="C1" s="6" t="n"/>
      <c r="D1" s="6" t="n"/>
      <c r="E1" s="6" t="n"/>
      <c r="F1" s="6" t="n"/>
      <c r="G1" s="6" t="n"/>
      <c r="H1" s="6" t="n"/>
      <c r="I1" s="6" t="n"/>
      <c r="J1" s="6" t="n"/>
      <c r="K1" s="6" t="n"/>
      <c r="L1" s="6" t="n"/>
      <c r="M1" s="6" t="n"/>
      <c r="N1" s="6" t="n"/>
      <c r="O1" s="6" t="n"/>
    </row>
    <row r="2" ht="16" customHeight="1">
      <c r="A2" s="7" t="inlineStr">
        <is>
          <t>Client design: PPT s32, s44 to s46.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Structure</t>
        </is>
      </c>
      <c r="C5" s="10" t="inlineStr">
        <is>
          <t>Permanent and temporary screens</t>
        </is>
      </c>
      <c r="D5" s="10" t="inlineStr">
        <is>
          <t>Filter</t>
        </is>
      </c>
      <c r="E5" s="10" t="inlineStr">
        <is>
          <t>The two retention types</t>
        </is>
      </c>
      <c r="F5" s="10" t="inlineStr">
        <is>
          <t>EDRMS database</t>
        </is>
      </c>
      <c r="G5" s="10" t="inlineStr">
        <is>
          <t>1 Utilization Report</t>
        </is>
      </c>
      <c r="H5" s="10" t="inlineStr">
        <is>
          <t>EDRMSDuration</t>
        </is>
      </c>
      <c r="I5" s="10" t="inlineStr">
        <is>
          <t>Permanent WHERE EDRMSDuration = 'Permanent', temporary otherwise</t>
        </is>
      </c>
      <c r="J5" s="10" t="inlineStr">
        <is>
          <t>Yes</t>
        </is>
      </c>
      <c r="K5" s="10" t="inlineStr">
        <is>
          <t>Yes</t>
        </is>
      </c>
      <c r="L5" s="10" t="inlineStr">
        <is>
          <t>Yes. Query the duration column on Records</t>
        </is>
      </c>
      <c r="M5" s="10" t="inlineStr">
        <is>
          <t>Easy</t>
        </is>
      </c>
      <c r="N5" s="11" t="inlineStr">
        <is>
          <t>Buildable now</t>
        </is>
      </c>
      <c r="O5" s="10" t="inlineStr"/>
    </row>
    <row r="6">
      <c r="A6" s="9" t="n">
        <v>2</v>
      </c>
      <c r="B6" s="10" t="inlineStr">
        <is>
          <t>Retention</t>
        </is>
      </c>
      <c r="C6" s="10" t="inlineStr">
        <is>
          <t>Records due, 30, 90 and 12 month windows</t>
        </is>
      </c>
      <c r="D6" s="10" t="inlineStr">
        <is>
          <t>Tile and chart</t>
        </is>
      </c>
      <c r="E6" s="10" t="inlineStr">
        <is>
          <t>What falls due in each window</t>
        </is>
      </c>
      <c r="F6" s="10" t="inlineStr">
        <is>
          <t>EDRMS database</t>
        </is>
      </c>
      <c r="G6" s="10" t="inlineStr">
        <is>
          <t>1 Utilization Report</t>
        </is>
      </c>
      <c r="H6" s="10" t="inlineStr">
        <is>
          <t>EDRMSDueDateForDisposal</t>
        </is>
      </c>
      <c r="I6" s="10" t="inlineStr">
        <is>
          <t>COUNT(*) WHERE the due date falls in each window. The windows must nest</t>
        </is>
      </c>
      <c r="J6" s="10" t="inlineStr">
        <is>
          <t>Yes</t>
        </is>
      </c>
      <c r="K6" s="10" t="inlineStr">
        <is>
          <t>Yes</t>
        </is>
      </c>
      <c r="L6" s="10" t="inlineStr">
        <is>
          <t>Yes. The due date is already computed in the source database</t>
        </is>
      </c>
      <c r="M6" s="10" t="inlineStr">
        <is>
          <t>Easy</t>
        </is>
      </c>
      <c r="N6" s="11" t="inlineStr">
        <is>
          <t>Buildable now</t>
        </is>
      </c>
      <c r="O6" s="10" t="inlineStr"/>
    </row>
    <row r="7">
      <c r="A7" s="9" t="n">
        <v>3</v>
      </c>
      <c r="B7" s="10" t="inlineStr">
        <is>
          <t>Retention</t>
        </is>
      </c>
      <c r="C7" s="10" t="inlineStr">
        <is>
          <t>Retention label and duration per term</t>
        </is>
      </c>
      <c r="D7" s="10" t="inlineStr">
        <is>
          <t>Table column</t>
        </is>
      </c>
      <c r="E7" s="10" t="inlineStr">
        <is>
          <t>How long each class is kept</t>
        </is>
      </c>
      <c r="F7" s="10" t="inlineStr">
        <is>
          <t>EDRMS database</t>
        </is>
      </c>
      <c r="G7" s="10" t="inlineStr">
        <is>
          <t>1 Utilization Report</t>
        </is>
      </c>
      <c r="H7" s="10" t="inlineStr">
        <is>
          <t>EDRMSRetentionLabel, EDRMSDuration</t>
        </is>
      </c>
      <c r="I7" s="10" t="inlineStr">
        <is>
          <t>GROUP BY label. Duration is text, cast before arithmetic</t>
        </is>
      </c>
      <c r="J7" s="10" t="inlineStr">
        <is>
          <t>Yes</t>
        </is>
      </c>
      <c r="K7" s="10" t="inlineStr">
        <is>
          <t>Yes</t>
        </is>
      </c>
      <c r="L7" s="10" t="inlineStr">
        <is>
          <t>Yes. Purview holds 53 labels, and the label is on the record row</t>
        </is>
      </c>
      <c r="M7" s="10" t="inlineStr">
        <is>
          <t>Easy</t>
        </is>
      </c>
      <c r="N7" s="11" t="inlineStr">
        <is>
          <t>Buildable now</t>
        </is>
      </c>
      <c r="O7" s="10" t="inlineStr"/>
    </row>
    <row r="8">
      <c r="A8" s="9" t="n">
        <v>4</v>
      </c>
      <c r="B8" s="10" t="inlineStr">
        <is>
          <t>Retention</t>
        </is>
      </c>
      <c r="C8" s="10" t="inlineStr">
        <is>
          <t>Beyond retention period</t>
        </is>
      </c>
      <c r="D8" s="10" t="inlineStr">
        <is>
          <t>Tile</t>
        </is>
      </c>
      <c r="E8" s="10" t="inlineStr">
        <is>
          <t>Records past their disposal date</t>
        </is>
      </c>
      <c r="F8" s="10" t="inlineStr">
        <is>
          <t>EDRMS database</t>
        </is>
      </c>
      <c r="G8" s="10" t="inlineStr">
        <is>
          <t>1 Utilization Report</t>
        </is>
      </c>
      <c r="H8" s="10" t="inlineStr">
        <is>
          <t>EDRMSDueDateForDisposal</t>
        </is>
      </c>
      <c r="I8" s="10" t="inlineStr">
        <is>
          <t>COUNT(*) WHERE the due date is in the past</t>
        </is>
      </c>
      <c r="J8" s="10" t="inlineStr">
        <is>
          <t>Yes</t>
        </is>
      </c>
      <c r="K8" s="10" t="inlineStr">
        <is>
          <t>Yes</t>
        </is>
      </c>
      <c r="L8" s="10" t="inlineStr">
        <is>
          <t>Yes</t>
        </is>
      </c>
      <c r="M8" s="10" t="inlineStr">
        <is>
          <t>Easy</t>
        </is>
      </c>
      <c r="N8" s="11" t="inlineStr">
        <is>
          <t>Buildable now</t>
        </is>
      </c>
      <c r="O8" s="10" t="inlineStr">
        <is>
          <t>Warn that this means the date has passed, not that action is outstanding. Why: nothing records whether a disposal was carried out</t>
        </is>
      </c>
    </row>
    <row r="9">
      <c r="A9" s="9" t="n">
        <v>5</v>
      </c>
      <c r="B9" s="10" t="inlineStr">
        <is>
          <t>Compliance</t>
        </is>
      </c>
      <c r="C9" s="10" t="inlineStr">
        <is>
          <t>Records with and without a retention schedule</t>
        </is>
      </c>
      <c r="D9" s="10" t="inlineStr">
        <is>
          <t>Tile</t>
        </is>
      </c>
      <c r="E9" s="10" t="inlineStr">
        <is>
          <t>Whether a record can be scheduled at all</t>
        </is>
      </c>
      <c r="F9" s="10" t="inlineStr">
        <is>
          <t>EDRMS database</t>
        </is>
      </c>
      <c r="G9" s="10" t="inlineStr">
        <is>
          <t>1 Utilization Report</t>
        </is>
      </c>
      <c r="H9" s="10" t="inlineStr">
        <is>
          <t>EDRMSRetentionLabel</t>
        </is>
      </c>
      <c r="I9" s="10" t="inlineStr">
        <is>
          <t>COUNT WHERE the label IS NULL against NOT NULL</t>
        </is>
      </c>
      <c r="J9" s="10" t="inlineStr">
        <is>
          <t>Yes</t>
        </is>
      </c>
      <c r="K9" s="10" t="inlineStr">
        <is>
          <t>Yes</t>
        </is>
      </c>
      <c r="L9" s="10" t="inlineStr">
        <is>
          <t>Yes</t>
        </is>
      </c>
      <c r="M9" s="10" t="inlineStr">
        <is>
          <t>Easy</t>
        </is>
      </c>
      <c r="N9" s="11" t="inlineStr">
        <is>
          <t>Buildable now</t>
        </is>
      </c>
      <c r="O9" s="10" t="inlineStr"/>
    </row>
    <row r="10">
      <c r="A10" s="9" t="n">
        <v>6</v>
      </c>
      <c r="B10" s="10" t="inlineStr">
        <is>
          <t>Compliance</t>
        </is>
      </c>
      <c r="C10" s="10" t="inlineStr">
        <is>
          <t>Libraries without a mapped retention schedule</t>
        </is>
      </c>
      <c r="D10" s="10" t="inlineStr">
        <is>
          <t>Tile</t>
        </is>
      </c>
      <c r="E10" s="10" t="inlineStr">
        <is>
          <t>Unmapped libraries</t>
        </is>
      </c>
      <c r="F10" s="10" t="inlineStr">
        <is>
          <t>SharePoint list</t>
        </is>
      </c>
      <c r="G10" s="10" t="inlineStr">
        <is>
          <t>1 Utilization Report</t>
        </is>
      </c>
      <c r="H10" s="10" t="inlineStr">
        <is>
          <t>ADBLibraryCategory, ListId</t>
        </is>
      </c>
      <c r="I10" s="10" t="inlineStr">
        <is>
          <t>Library list MINUS the libraries present in the Retention Label Mapping list</t>
        </is>
      </c>
      <c r="J10" s="10" t="inlineStr">
        <is>
          <t>Yes</t>
        </is>
      </c>
      <c r="K10" s="10" t="inlineStr">
        <is>
          <t>Unknown</t>
        </is>
      </c>
      <c r="L10" s="10" t="inlineStr">
        <is>
          <t>Yes, and worth doing first: open the Retention Label Mapping list and check whether it keys libraries by ListId or by name</t>
        </is>
      </c>
      <c r="M10" s="10" t="inlineStr">
        <is>
          <t>Easy</t>
        </is>
      </c>
      <c r="N10" s="17" t="inlineStr">
        <is>
          <t>Decision needed</t>
        </is>
      </c>
      <c r="O10" s="10" t="inlineStr">
        <is>
          <t>Check the mapping list's key yourself before asking anyone. Why: if it keys by ListId this metric goes straight in, and if it keys by name the join is too fragile to trust</t>
        </is>
      </c>
    </row>
    <row r="11">
      <c r="A11" s="9" t="n">
        <v>7</v>
      </c>
      <c r="B11" s="10" t="inlineStr">
        <is>
          <t>Terms</t>
        </is>
      </c>
      <c r="C11" s="10" t="inlineStr">
        <is>
          <t>Departments and libraries provisioned per term</t>
        </is>
      </c>
      <c r="D11" s="10" t="inlineStr">
        <is>
          <t>Table column</t>
        </is>
      </c>
      <c r="E11" s="10" t="inlineStr">
        <is>
          <t>Reach of each retention term</t>
        </is>
      </c>
      <c r="F11" s="10" t="inlineStr">
        <is>
          <t>No source</t>
        </is>
      </c>
      <c r="G11" s="10" t="inlineStr">
        <is>
          <t>4 File Plan</t>
        </is>
      </c>
      <c r="H11" s="10" t="inlineStr">
        <is>
          <t>No join key exists</t>
        </is>
      </c>
      <c r="I11" s="10" t="inlineStr">
        <is>
          <t>Same missing link as the file plan</t>
        </is>
      </c>
      <c r="J11" s="10" t="inlineStr">
        <is>
          <t>No</t>
        </is>
      </c>
      <c r="K11" s="10" t="inlineStr">
        <is>
          <t>No</t>
        </is>
      </c>
      <c r="L11" s="10" t="inlineStr">
        <is>
          <t>No. Nothing in the tenant holds this</t>
        </is>
      </c>
      <c r="M11" s="10" t="inlineStr">
        <is>
          <t>Blocked</t>
        </is>
      </c>
      <c r="N11" s="15" t="inlineStr">
        <is>
          <t>Needs new column or join</t>
        </is>
      </c>
      <c r="O11" s="10" t="inlineStr">
        <is>
          <t>Ask the development team to add a term reference to the document row, or supply a term to library mapping list. Why: nothing links a term to a document, so no per term figure can be produced even once the file plan is located</t>
        </is>
      </c>
    </row>
    <row r="12">
      <c r="A12" s="9" t="n">
        <v>8</v>
      </c>
      <c r="B12" s="10" t="inlineStr">
        <is>
          <t>Disposal</t>
        </is>
      </c>
      <c r="C12" s="10" t="inlineStr">
        <is>
          <t>Records disposed, awaiting approval, backlog</t>
        </is>
      </c>
      <c r="D12" s="10" t="inlineStr">
        <is>
          <t>Tile</t>
        </is>
      </c>
      <c r="E12" s="10" t="inlineStr">
        <is>
          <t>What has actually happened</t>
        </is>
      </c>
      <c r="F12" s="10" t="inlineStr">
        <is>
          <t>No source</t>
        </is>
      </c>
      <c r="G12" s="10" t="inlineStr">
        <is>
          <t>1 Utilization Report</t>
        </is>
      </c>
      <c r="H12" s="10" t="inlineStr">
        <is>
          <t>DisposalStatus was removed from the design</t>
        </is>
      </c>
      <c r="I12" s="10" t="inlineStr">
        <is>
          <t>Would be COUNT GROUP BY disposal status</t>
        </is>
      </c>
      <c r="J12" s="10" t="inlineStr">
        <is>
          <t>No, deliberately</t>
        </is>
      </c>
      <c r="K12" s="10" t="inlineStr">
        <is>
          <t>No</t>
        </is>
      </c>
      <c r="L12" s="10" t="inlineStr">
        <is>
          <t>No. Nothing in the tenant holds this</t>
        </is>
      </c>
      <c r="M12" s="10" t="inlineStr">
        <is>
          <t>Blocked</t>
        </is>
      </c>
      <c r="N12" s="16" t="inlineStr">
        <is>
          <t>Needs application change</t>
        </is>
      </c>
      <c r="O12" s="10" t="inlineStr">
        <is>
          <t>Raise a change request for a disposal status field: status, approver, and date disposed. Why: nothing records that a disposal happened, so every completion figure is unanswerable</t>
        </is>
      </c>
    </row>
    <row r="13">
      <c r="A13" s="9" t="n">
        <v>9</v>
      </c>
      <c r="B13" s="10" t="inlineStr">
        <is>
          <t>Disposal</t>
        </is>
      </c>
      <c r="C13" s="10" t="inlineStr">
        <is>
          <t>Physical records overdue for transfer</t>
        </is>
      </c>
      <c r="D13" s="10" t="inlineStr">
        <is>
          <t>Tile</t>
        </is>
      </c>
      <c r="E13" s="10" t="inlineStr">
        <is>
          <t>Counterparts not yet with RAC</t>
        </is>
      </c>
      <c r="F13" s="10" t="inlineStr">
        <is>
          <t>No source</t>
        </is>
      </c>
      <c r="G13" s="10" t="inlineStr">
        <is>
          <t>None</t>
        </is>
      </c>
      <c r="H13" s="10" t="inlineStr">
        <is>
          <t>No column exists</t>
        </is>
      </c>
      <c r="I13" s="10" t="inlineStr">
        <is>
          <t>Needs the RAC holdings system</t>
        </is>
      </c>
      <c r="J13" s="10" t="inlineStr">
        <is>
          <t>No</t>
        </is>
      </c>
      <c r="K13" s="10" t="inlineStr">
        <is>
          <t>No</t>
        </is>
      </c>
      <c r="L13" s="10" t="inlineStr">
        <is>
          <t>No. Nothing in the tenant holds this</t>
        </is>
      </c>
      <c r="M13" s="10" t="inlineStr">
        <is>
          <t>Blocked</t>
        </is>
      </c>
      <c r="N13" s="13" t="inlineStr">
        <is>
          <t>Needs new data source</t>
        </is>
      </c>
      <c r="O13"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sheetData>
  <autoFilter ref="A4:O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0" customWidth="1" min="3" max="3"/>
    <col width="9" customWidth="1" min="4" max="4"/>
    <col width="40" customWidth="1" min="5" max="5"/>
    <col width="20" customWidth="1" min="6" max="6"/>
    <col width="22" customWidth="1" min="7" max="7"/>
    <col width="30" customWidth="1" min="8" max="8"/>
    <col width="48" customWidth="1" min="9" max="9"/>
    <col width="13" customWidth="1" min="10" max="10"/>
    <col width="15" customWidth="1" min="11" max="11"/>
    <col width="46" customWidth="1" min="12" max="12"/>
    <col width="9" customWidth="1" min="13" max="13"/>
    <col width="24" customWidth="1" min="14" max="14"/>
    <col width="60" customWidth="1" min="15" max="15"/>
  </cols>
  <sheetData>
    <row r="1" ht="20" customHeight="1">
      <c r="A1" s="5" t="inlineStr">
        <is>
          <t>Records and Archive Holdings</t>
        </is>
      </c>
      <c r="B1" s="6" t="n"/>
      <c r="C1" s="6" t="n"/>
      <c r="D1" s="6" t="n"/>
      <c r="E1" s="6" t="n"/>
      <c r="F1" s="6" t="n"/>
      <c r="G1" s="6" t="n"/>
      <c r="H1" s="6" t="n"/>
      <c r="I1" s="6" t="n"/>
      <c r="J1" s="6" t="n"/>
      <c r="K1" s="6" t="n"/>
      <c r="L1" s="6" t="n"/>
      <c r="M1" s="6" t="n"/>
      <c r="N1" s="6" t="n"/>
      <c r="O1" s="6" t="n"/>
    </row>
    <row r="2" ht="16" customHeight="1">
      <c r="A2" s="7" t="inlineStr">
        <is>
          <t>Client design: PPT s33, s67 to s69. Filter the Status column to see what can be built now.</t>
        </is>
      </c>
      <c r="B2" s="6" t="n"/>
      <c r="C2" s="6" t="n"/>
      <c r="D2" s="6" t="n"/>
      <c r="E2" s="6" t="n"/>
      <c r="F2" s="6" t="n"/>
      <c r="G2" s="6" t="n"/>
      <c r="H2" s="6" t="n"/>
      <c r="I2" s="6" t="n"/>
      <c r="J2" s="6" t="n"/>
      <c r="K2" s="6" t="n"/>
      <c r="L2" s="6" t="n"/>
      <c r="M2" s="6" t="n"/>
      <c r="N2" s="6" t="n"/>
      <c r="O2" s="6" t="n"/>
    </row>
    <row r="4" ht="32" customHeight="1">
      <c r="A4" s="8" t="inlineStr">
        <is>
          <t>S/N</t>
        </is>
      </c>
      <c r="B4" s="8" t="inlineStr">
        <is>
          <t>Section</t>
        </is>
      </c>
      <c r="C4" s="8" t="inlineStr">
        <is>
          <t>Element</t>
        </is>
      </c>
      <c r="D4" s="8" t="inlineStr">
        <is>
          <t>Type</t>
        </is>
      </c>
      <c r="E4" s="8" t="inlineStr">
        <is>
          <t>What the figure is</t>
        </is>
      </c>
      <c r="F4" s="8" t="inlineStr">
        <is>
          <t>Source system</t>
        </is>
      </c>
      <c r="G4" s="8" t="inlineStr">
        <is>
          <t>Database table</t>
        </is>
      </c>
      <c r="H4" s="8" t="inlineStr">
        <is>
          <t>Database column</t>
        </is>
      </c>
      <c r="I4" s="8" t="inlineStr">
        <is>
          <t>How it is produced</t>
        </is>
      </c>
      <c r="J4" s="8" t="inlineStr">
        <is>
          <t>In the design?</t>
        </is>
      </c>
      <c r="K4" s="8" t="inlineStr">
        <is>
          <t>In the tenant today?</t>
        </is>
      </c>
      <c r="L4" s="8" t="inlineStr">
        <is>
          <t>Testable in the tenant, and how</t>
        </is>
      </c>
      <c r="M4" s="8" t="inlineStr">
        <is>
          <t>Effort</t>
        </is>
      </c>
      <c r="N4" s="8" t="inlineStr">
        <is>
          <t>Status</t>
        </is>
      </c>
      <c r="O4" s="8" t="inlineStr">
        <is>
          <t>Question to ask the client, and why</t>
        </is>
      </c>
    </row>
    <row r="5">
      <c r="A5" s="9" t="n">
        <v>1</v>
      </c>
      <c r="B5" s="10" t="inlineStr">
        <is>
          <t>Storage</t>
        </is>
      </c>
      <c r="C5" s="10" t="inlineStr">
        <is>
          <t>Boxes and folders by location</t>
        </is>
      </c>
      <c r="D5" s="10" t="inlineStr">
        <is>
          <t>Table</t>
        </is>
      </c>
      <c r="E5" s="10" t="inlineStr">
        <is>
          <t>Physical holdings at each location</t>
        </is>
      </c>
      <c r="F5" s="10" t="inlineStr">
        <is>
          <t>No source</t>
        </is>
      </c>
      <c r="G5" s="10" t="inlineStr">
        <is>
          <t>None, a PhysicalRecords table was designed and never built</t>
        </is>
      </c>
      <c r="H5" s="10" t="inlineStr">
        <is>
          <t>No column exists</t>
        </is>
      </c>
      <c r="I5" s="10" t="inlineStr">
        <is>
          <t>Would come from a physical holdings register</t>
        </is>
      </c>
      <c r="J5" s="10" t="inlineStr">
        <is>
          <t>Designed, not built</t>
        </is>
      </c>
      <c r="K5" s="10" t="inlineStr">
        <is>
          <t>No</t>
        </is>
      </c>
      <c r="L5" s="10" t="inlineStr">
        <is>
          <t>No. Nothing in the tenant holds this</t>
        </is>
      </c>
      <c r="M5" s="10" t="inlineStr">
        <is>
          <t>Blocked</t>
        </is>
      </c>
      <c r="N5" s="13" t="inlineStr">
        <is>
          <t>Needs new data source</t>
        </is>
      </c>
      <c r="O5"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6">
      <c r="A6" s="9" t="n">
        <v>2</v>
      </c>
      <c r="B6" s="10" t="inlineStr">
        <is>
          <t>Storage</t>
        </is>
      </c>
      <c r="C6" s="10" t="inlineStr">
        <is>
          <t>Requests and requestors</t>
        </is>
      </c>
      <c r="D6" s="10" t="inlineStr">
        <is>
          <t>Table column</t>
        </is>
      </c>
      <c r="E6" s="10" t="inlineStr">
        <is>
          <t>Who is depositing records</t>
        </is>
      </c>
      <c r="F6" s="10" t="inlineStr">
        <is>
          <t>No source</t>
        </is>
      </c>
      <c r="G6" s="10" t="inlineStr">
        <is>
          <t>None</t>
        </is>
      </c>
      <c r="H6" s="10" t="inlineStr">
        <is>
          <t>No column exists</t>
        </is>
      </c>
      <c r="I6" s="10" t="inlineStr">
        <is>
          <t>Would come from the same register</t>
        </is>
      </c>
      <c r="J6" s="10" t="inlineStr">
        <is>
          <t>No</t>
        </is>
      </c>
      <c r="K6" s="10" t="inlineStr">
        <is>
          <t>No</t>
        </is>
      </c>
      <c r="L6" s="10" t="inlineStr">
        <is>
          <t>No. Nothing in the tenant holds this</t>
        </is>
      </c>
      <c r="M6" s="10" t="inlineStr">
        <is>
          <t>Blocked</t>
        </is>
      </c>
      <c r="N6" s="13" t="inlineStr">
        <is>
          <t>Needs new data source</t>
        </is>
      </c>
      <c r="O6"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7">
      <c r="A7" s="9" t="n">
        <v>3</v>
      </c>
      <c r="B7" s="10" t="inlineStr">
        <is>
          <t>Storage</t>
        </is>
      </c>
      <c r="C7" s="10" t="inlineStr">
        <is>
          <t>Capacity used per location</t>
        </is>
      </c>
      <c r="D7" s="10" t="inlineStr">
        <is>
          <t>Chart</t>
        </is>
      </c>
      <c r="E7" s="10" t="inlineStr">
        <is>
          <t>How full each room is</t>
        </is>
      </c>
      <c r="F7" s="10" t="inlineStr">
        <is>
          <t>No source</t>
        </is>
      </c>
      <c r="G7" s="10" t="inlineStr">
        <is>
          <t>None</t>
        </is>
      </c>
      <c r="H7" s="10" t="inlineStr">
        <is>
          <t>No column exists</t>
        </is>
      </c>
      <c r="I7" s="10" t="inlineStr">
        <is>
          <t>Facility data. The client asks directly whether it can be included</t>
        </is>
      </c>
      <c r="J7" s="10" t="inlineStr">
        <is>
          <t>No</t>
        </is>
      </c>
      <c r="K7" s="10" t="inlineStr">
        <is>
          <t>No</t>
        </is>
      </c>
      <c r="L7" s="10" t="inlineStr">
        <is>
          <t>No. Nothing in the tenant holds this</t>
        </is>
      </c>
      <c r="M7" s="10" t="inlineStr">
        <is>
          <t>Blocked</t>
        </is>
      </c>
      <c r="N7" s="13" t="inlineStr">
        <is>
          <t>Needs new data source</t>
        </is>
      </c>
      <c r="O7"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 Answer their direct question: capacity can be displayed the moment somebody holds the figure</t>
        </is>
      </c>
    </row>
    <row r="8">
      <c r="A8" s="9" t="n">
        <v>4</v>
      </c>
      <c r="B8" s="10" t="inlineStr">
        <is>
          <t>Retrieval</t>
        </is>
      </c>
      <c r="C8" s="10" t="inlineStr">
        <is>
          <t>Boxes and folders retrieved, status</t>
        </is>
      </c>
      <c r="D8" s="10" t="inlineStr">
        <is>
          <t>Table</t>
        </is>
      </c>
      <c r="E8" s="10" t="inlineStr">
        <is>
          <t>Records taken out of the holdings</t>
        </is>
      </c>
      <c r="F8" s="10" t="inlineStr">
        <is>
          <t>No source</t>
        </is>
      </c>
      <c r="G8" s="10" t="inlineStr">
        <is>
          <t>None</t>
        </is>
      </c>
      <c r="H8" s="10" t="inlineStr">
        <is>
          <t>No column exists</t>
        </is>
      </c>
      <c r="I8" s="10" t="inlineStr">
        <is>
          <t>Slide 67 says retrieval is processed in eServe</t>
        </is>
      </c>
      <c r="J8" s="10" t="inlineStr">
        <is>
          <t>No</t>
        </is>
      </c>
      <c r="K8" s="10" t="inlineStr">
        <is>
          <t>No</t>
        </is>
      </c>
      <c r="L8" s="10" t="inlineStr">
        <is>
          <t>No. Nothing in the tenant holds this</t>
        </is>
      </c>
      <c r="M8" s="10" t="inlineStr">
        <is>
          <t>Blocked</t>
        </is>
      </c>
      <c r="N8" s="13" t="inlineStr">
        <is>
          <t>Needs new data source</t>
        </is>
      </c>
      <c r="O8"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9">
      <c r="A9" s="9" t="n">
        <v>5</v>
      </c>
      <c r="B9" s="10" t="inlineStr">
        <is>
          <t>Inventory health</t>
        </is>
      </c>
      <c r="C9" s="10" t="inlineStr">
        <is>
          <t>Unverified, missing, due for verification</t>
        </is>
      </c>
      <c r="D9" s="10" t="inlineStr">
        <is>
          <t>Tile</t>
        </is>
      </c>
      <c r="E9" s="10" t="inlineStr">
        <is>
          <t>State of the physical inventory</t>
        </is>
      </c>
      <c r="F9" s="10" t="inlineStr">
        <is>
          <t>No source</t>
        </is>
      </c>
      <c r="G9" s="10" t="inlineStr">
        <is>
          <t>None</t>
        </is>
      </c>
      <c r="H9" s="10" t="inlineStr">
        <is>
          <t>No column exists</t>
        </is>
      </c>
      <c r="I9" s="10" t="inlineStr">
        <is>
          <t>Implies a physical inventory process with a system behind it</t>
        </is>
      </c>
      <c r="J9" s="10" t="inlineStr">
        <is>
          <t>No</t>
        </is>
      </c>
      <c r="K9" s="10" t="inlineStr">
        <is>
          <t>No</t>
        </is>
      </c>
      <c r="L9" s="10" t="inlineStr">
        <is>
          <t>No. Nothing in the tenant holds this</t>
        </is>
      </c>
      <c r="M9" s="10" t="inlineStr">
        <is>
          <t>Blocked</t>
        </is>
      </c>
      <c r="N9" s="13" t="inlineStr">
        <is>
          <t>Needs new data source</t>
        </is>
      </c>
      <c r="O9"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10">
      <c r="A10" s="9" t="n">
        <v>6</v>
      </c>
      <c r="B10" s="10" t="inlineStr">
        <is>
          <t>Inventory health</t>
        </is>
      </c>
      <c r="C10" s="10" t="inlineStr">
        <is>
          <t>Total physical files, legacy records</t>
        </is>
      </c>
      <c r="D10" s="10" t="inlineStr">
        <is>
          <t>Tile</t>
        </is>
      </c>
      <c r="E10" s="10" t="inlineStr">
        <is>
          <t>Size of the holding</t>
        </is>
      </c>
      <c r="F10" s="10" t="inlineStr">
        <is>
          <t>No source</t>
        </is>
      </c>
      <c r="G10" s="10" t="inlineStr">
        <is>
          <t>None</t>
        </is>
      </c>
      <c r="H10" s="10" t="inlineStr">
        <is>
          <t>No column exists</t>
        </is>
      </c>
      <c r="I10" s="10" t="inlineStr">
        <is>
          <t>Same register</t>
        </is>
      </c>
      <c r="J10" s="10" t="inlineStr">
        <is>
          <t>No</t>
        </is>
      </c>
      <c r="K10" s="10" t="inlineStr">
        <is>
          <t>No</t>
        </is>
      </c>
      <c r="L10" s="10" t="inlineStr">
        <is>
          <t>No. Nothing in the tenant holds this</t>
        </is>
      </c>
      <c r="M10" s="10" t="inlineStr">
        <is>
          <t>Blocked</t>
        </is>
      </c>
      <c r="N10" s="13" t="inlineStr">
        <is>
          <t>Needs new data source</t>
        </is>
      </c>
      <c r="O10"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row>
    <row r="11">
      <c r="A11" s="9" t="n">
        <v>7</v>
      </c>
      <c r="B11" s="10" t="inlineStr">
        <is>
          <t>Whole dashboard</t>
        </is>
      </c>
      <c r="C11" s="10" t="inlineStr">
        <is>
          <t>Recommendation</t>
        </is>
      </c>
      <c r="D11" s="10" t="inlineStr">
        <is>
          <t>Note</t>
        </is>
      </c>
      <c r="E11" s="10" t="inlineStr">
        <is>
          <t>How to run this piece of work</t>
        </is>
      </c>
      <c r="F11" s="10" t="inlineStr">
        <is>
          <t>No source</t>
        </is>
      </c>
      <c r="G11" s="10" t="inlineStr">
        <is>
          <t>None</t>
        </is>
      </c>
      <c r="H11" s="10" t="inlineStr">
        <is>
          <t>n/a</t>
        </is>
      </c>
      <c r="I11" s="10" t="inlineStr">
        <is>
          <t>Run as its own workstream. It is a second data source discovery exercise of the same size as the SharePoint one already completed, and inside the utilization report it would hold up the other five dashboards</t>
        </is>
      </c>
      <c r="J11" s="10" t="inlineStr">
        <is>
          <t>n/a</t>
        </is>
      </c>
      <c r="K11" s="10" t="inlineStr">
        <is>
          <t>n/a</t>
        </is>
      </c>
      <c r="L11" s="10" t="inlineStr">
        <is>
          <t>n/a</t>
        </is>
      </c>
      <c r="M11" s="10" t="inlineStr">
        <is>
          <t>n/a</t>
        </is>
      </c>
      <c r="N11" s="17" t="inlineStr">
        <is>
          <t>Decision needed</t>
        </is>
      </c>
      <c r="O11" s="10" t="inlineStr">
        <is>
          <t>Ask for access to the IR Dashboard shown on slide 67, and ask what is available in Opus. Why: both are their own questions to us, and the IR Dashboard may already hold most of this</t>
        </is>
      </c>
    </row>
  </sheetData>
  <autoFilter ref="A4:O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UTILIZATION REPORT TABLE</t>
        </is>
      </c>
      <c r="B1" s="6" t="n"/>
      <c r="C1" s="6" t="n"/>
      <c r="D1" s="6" t="n"/>
      <c r="E1" s="6" t="n"/>
      <c r="F1" s="6" t="n"/>
      <c r="G1" s="6" t="n"/>
      <c r="H1" s="6" t="n"/>
      <c r="I1" s="6" t="n"/>
    </row>
    <row r="2" ht="42" customHeight="1">
      <c r="A2" s="7" t="inlineStr">
        <is>
          <t>One row per document held in an EDRMS compliant site, declared or not. About 3.47 million rows, replaced in full at each weekly refresh. The undeclared documents are the point: without them there is no denominator and therefore no declaration rate.</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row of the snapshot. Regenerated on every refresh, because the whole table is replaced rather than updated in place.</t>
        </is>
      </c>
      <c r="E5" s="10" t="inlineStr">
        <is>
          <t>System generated</t>
        </is>
      </c>
      <c r="F5" s="10" t="inlineStr">
        <is>
          <t>3f2a91c4-7b18-4d0e-9a52-c6f0b81c4d2e</t>
        </is>
      </c>
      <c r="G5" s="10" t="inlineStr">
        <is>
          <t>Job generated</t>
        </is>
      </c>
      <c r="H5" s="10" t="inlineStr"/>
      <c r="I5" s="10" t="inlineStr"/>
    </row>
    <row r="6">
      <c r="A6" s="9" t="n">
        <v>2</v>
      </c>
      <c r="B6" s="18" t="inlineStr">
        <is>
          <t>SnapshotDate</t>
        </is>
      </c>
      <c r="C6" s="10" t="inlineStr">
        <is>
          <t>date</t>
        </is>
      </c>
      <c r="D6" s="10" t="inlineStr">
        <is>
          <t>The date the refresh job captured this data. The same value appears on every row of a single run, and it is what the Data as of line prints at the top of every dashboard.</t>
        </is>
      </c>
      <c r="E6" s="10" t="inlineStr">
        <is>
          <t>System generated</t>
        </is>
      </c>
      <c r="F6" s="10" t="inlineStr">
        <is>
          <t>2026-07-27</t>
        </is>
      </c>
      <c r="G6" s="10" t="inlineStr">
        <is>
          <t>Job generated</t>
        </is>
      </c>
      <c r="H6" s="10" t="inlineStr"/>
      <c r="I6" s="10" t="inlineStr">
        <is>
          <t>NEW. One value per run. A dashboard is only as current as this date. THIS TABLE IS REPLACED, NOT RETAINED, unlike the other three: at 3.47 million rows a week a year of history would be 180 million rows, and it is not needed, because every document row already carries its own dates.</t>
        </is>
      </c>
    </row>
    <row r="7">
      <c r="A7" s="9" t="n">
        <v>3</v>
      </c>
      <c r="B7" s="18" t="inlineStr">
        <is>
          <t>DocumentId</t>
        </is>
      </c>
      <c r="C7" s="10" t="inlineStr">
        <is>
          <t>text</t>
        </is>
      </c>
      <c r="D7" s="10" t="inlineStr">
        <is>
          <t>The SharePoint Document ID, meaning the identifier SharePoint assigns to a document and keeps through a rename or a move.</t>
        </is>
      </c>
      <c r="E7" s="10" t="inlineStr">
        <is>
          <t>SharePoint Document ID</t>
        </is>
      </c>
      <c r="F7" s="10" t="inlineStr">
        <is>
          <t>1000-52341</t>
        </is>
      </c>
      <c r="G7" s="10" t="inlineStr">
        <is>
          <t>EDRMS database</t>
        </is>
      </c>
      <c r="H7" s="10" t="inlineStr"/>
      <c r="I7" s="10" t="inlineStr">
        <is>
          <t>Nullable, which is why it is not the row identity. See ListId and ItemId.</t>
        </is>
      </c>
    </row>
    <row r="8">
      <c r="A8" s="9" t="n">
        <v>4</v>
      </c>
      <c r="B8" s="18" t="inlineStr">
        <is>
          <t>Title</t>
        </is>
      </c>
      <c r="C8" s="10" t="inlineStr">
        <is>
          <t>text</t>
        </is>
      </c>
      <c r="D8" s="10" t="inlineStr">
        <is>
          <t>The filename of the document, including its extension.</t>
        </is>
      </c>
      <c r="E8" s="10" t="inlineStr">
        <is>
          <t>Free text</t>
        </is>
      </c>
      <c r="F8" s="10" t="inlineStr">
        <is>
          <t>Board Paper Q2.pdf</t>
        </is>
      </c>
      <c r="G8" s="10" t="inlineStr">
        <is>
          <t>EDRMS database</t>
        </is>
      </c>
      <c r="H8" s="10" t="inlineStr"/>
      <c r="I8" s="10" t="inlineStr"/>
    </row>
    <row r="9">
      <c r="A9" s="9" t="n">
        <v>5</v>
      </c>
      <c r="B9" s="18" t="inlineStr">
        <is>
          <t>DocumentUrl</t>
        </is>
      </c>
      <c r="C9" s="10" t="inlineStr">
        <is>
          <t>text</t>
        </is>
      </c>
      <c r="D9" s="10" t="inlineStr">
        <is>
          <t>The full web address of the document, so a reader can click through from the report to the file itself.</t>
        </is>
      </c>
      <c r="E9" s="10" t="inlineStr">
        <is>
          <t>Absolute URL</t>
        </is>
      </c>
      <c r="F9" s="10" t="inlineStr">
        <is>
          <t>https://adb.sharepoint.com/sites/edrms-cwrd/AnnualMeet/Board Paper Q2.pdf</t>
        </is>
      </c>
      <c r="G9" s="10" t="inlineStr">
        <is>
          <t>Derived at load</t>
        </is>
      </c>
      <c r="H9" s="10" t="inlineStr"/>
      <c r="I9" s="10" t="inlineStr">
        <is>
          <t>NEW. Assembled at load time from SiteUrl, LibraryUrl, FolderPath and Title. Not stored anywhere today.</t>
        </is>
      </c>
    </row>
    <row r="10">
      <c r="A10" s="9" t="n">
        <v>6</v>
      </c>
      <c r="B10" s="18" t="inlineStr">
        <is>
          <t>FileType</t>
        </is>
      </c>
      <c r="C10" s="10" t="inlineStr">
        <is>
          <t>text</t>
        </is>
      </c>
      <c r="D10" s="10" t="inlineStr">
        <is>
          <t>The file extension in lower case, taken from the filename.</t>
        </is>
      </c>
      <c r="E10" s="10" t="inlineStr">
        <is>
          <t>Free text</t>
        </is>
      </c>
      <c r="F10" s="10" t="inlineStr">
        <is>
          <t>pdf</t>
        </is>
      </c>
      <c r="G10" s="10" t="inlineStr">
        <is>
          <t>EDRMS database</t>
        </is>
      </c>
      <c r="H10" s="10" t="inlineStr"/>
      <c r="I10" s="10" t="inlineStr">
        <is>
          <t>Flattened out of the FileMeta JSON, keeping the key name.</t>
        </is>
      </c>
    </row>
    <row r="11">
      <c r="A11" s="9" t="n">
        <v>7</v>
      </c>
      <c r="B11" s="18" t="inlineStr">
        <is>
          <t>FormatGroup</t>
        </is>
      </c>
      <c r="C11" s="10" t="inlineStr">
        <is>
          <t>text</t>
        </is>
      </c>
      <c r="D11" s="10" t="inlineStr">
        <is>
          <t>The format family the report groups by. Derived from FileType using a mapping list, so that doc and docx both count as Word.</t>
        </is>
      </c>
      <c r="E11" s="10" t="inlineStr">
        <is>
          <t>PDF / Word / Excel / PowerPoint / Email / Image files / Video files / All other formats</t>
        </is>
      </c>
      <c r="F11" s="10" t="inlineStr">
        <is>
          <t>PDF</t>
        </is>
      </c>
      <c r="G11" s="13" t="inlineStr">
        <is>
          <t>NEEDS A DECISION</t>
        </is>
      </c>
      <c r="H11" s="10" t="inlineStr"/>
      <c r="I11" s="10" t="inlineStr">
        <is>
          <t>NEW. Derived. RAC signs off the extension to group mapping once; anything unrecognised falls into All other formats.</t>
        </is>
      </c>
    </row>
    <row r="12">
      <c r="A12" s="9" t="n">
        <v>8</v>
      </c>
      <c r="B12" s="18" t="inlineStr">
        <is>
          <t>FileSize</t>
        </is>
      </c>
      <c r="C12" s="10" t="inlineStr">
        <is>
          <t>bigint</t>
        </is>
      </c>
      <c r="D12" s="10" t="inlineStr">
        <is>
          <t>The size of the file in bytes. Held in bytes rather than megabytes so nothing is rounded before it is totalled.</t>
        </is>
      </c>
      <c r="E12" s="10" t="inlineStr">
        <is>
          <t>System generated</t>
        </is>
      </c>
      <c r="F12" s="10" t="inlineStr">
        <is>
          <t>2516582</t>
        </is>
      </c>
      <c r="G12" s="10" t="inlineStr">
        <is>
          <t>Microsoft Graph</t>
        </is>
      </c>
      <c r="H12" s="10" t="inlineStr"/>
      <c r="I12" s="10" t="inlineStr">
        <is>
          <t>NEW KEY on FileMeta. Every storage figure depends on it. Microsoft Graph returns it on every item, so the scan gets it at no extra cost.</t>
        </is>
      </c>
    </row>
    <row r="13">
      <c r="A13" s="9" t="n">
        <v>9</v>
      </c>
      <c r="B13" s="18" t="inlineStr">
        <is>
          <t>FileCreatedDate</t>
        </is>
      </c>
      <c r="C13" s="10" t="inlineStr">
        <is>
          <t>timestamp with time zone</t>
        </is>
      </c>
      <c r="D13" s="10" t="inlineStr">
        <is>
          <t>The date and time the file itself was created, which is not the same as the date it was declared a record.</t>
        </is>
      </c>
      <c r="E13" s="10" t="inlineStr">
        <is>
          <t>System generated</t>
        </is>
      </c>
      <c r="F13" s="10" t="inlineStr">
        <is>
          <t>2026-03-12 09:14:00+00</t>
        </is>
      </c>
      <c r="G13" s="10" t="inlineStr">
        <is>
          <t>EDRMS database</t>
        </is>
      </c>
      <c r="H13" s="10" t="inlineStr"/>
      <c r="I13" s="10" t="inlineStr">
        <is>
          <t>The date range on the Total Documents panel reads this column.</t>
        </is>
      </c>
    </row>
    <row r="14">
      <c r="A14" s="9" t="n">
        <v>10</v>
      </c>
      <c r="B14" s="18" t="inlineStr">
        <is>
          <t>FileModifiedDate</t>
        </is>
      </c>
      <c r="C14" s="10" t="inlineStr">
        <is>
          <t>timestamp with time zone</t>
        </is>
      </c>
      <c r="D14" s="10" t="inlineStr">
        <is>
          <t>The date and time the file itself was last changed.</t>
        </is>
      </c>
      <c r="E14" s="10" t="inlineStr">
        <is>
          <t>System generated</t>
        </is>
      </c>
      <c r="F14" s="10" t="inlineStr">
        <is>
          <t>2026-06-04 16:02:00+00</t>
        </is>
      </c>
      <c r="G14" s="10" t="inlineStr">
        <is>
          <t>Microsoft Graph</t>
        </is>
      </c>
      <c r="H14" s="10" t="inlineStr"/>
      <c r="I14" s="10" t="inlineStr">
        <is>
          <t>NEW. Named this way because ModifiedDate in Records means when the record row changed, not the file.</t>
        </is>
      </c>
    </row>
    <row r="15">
      <c r="A15" s="9" t="n">
        <v>11</v>
      </c>
      <c r="B15" s="18" t="inlineStr">
        <is>
          <t>FolderPath</t>
        </is>
      </c>
      <c r="C15" s="10" t="inlineStr">
        <is>
          <t>text</t>
        </is>
      </c>
      <c r="D15" s="10" t="inlineStr">
        <is>
          <t>The folder path inside the library, so documents can be separated by folder within one library.</t>
        </is>
      </c>
      <c r="E15" s="10" t="inlineStr">
        <is>
          <t>Server relative path</t>
        </is>
      </c>
      <c r="F15" s="10" t="inlineStr">
        <is>
          <t>/2026/Q2/Board</t>
        </is>
      </c>
      <c r="G15" s="10" t="inlineStr">
        <is>
          <t>EDRMS database</t>
        </is>
      </c>
      <c r="H15" s="10" t="inlineStr"/>
      <c r="I15" s="10" t="inlineStr"/>
    </row>
    <row r="16">
      <c r="A16" s="9" t="n">
        <v>12</v>
      </c>
      <c r="B16" s="18" t="inlineStr">
        <is>
          <t>LibraryName</t>
        </is>
      </c>
      <c r="C16" s="10" t="inlineStr">
        <is>
          <t>text</t>
        </is>
      </c>
      <c r="D16" s="10" t="inlineStr">
        <is>
          <t>The display name of the document library holding the file.</t>
        </is>
      </c>
      <c r="E16" s="10" t="inlineStr">
        <is>
          <t>Free text</t>
        </is>
      </c>
      <c r="F16" s="10" t="inlineStr">
        <is>
          <t>Annual Meetings</t>
        </is>
      </c>
      <c r="G16" s="10" t="inlineStr">
        <is>
          <t>EDRMS database</t>
        </is>
      </c>
      <c r="H16" s="10" t="inlineStr"/>
      <c r="I16" s="10" t="inlineStr">
        <is>
          <t>The deepest level of the drill down.</t>
        </is>
      </c>
    </row>
    <row r="17">
      <c r="A17" s="9" t="n">
        <v>13</v>
      </c>
      <c r="B17" s="18" t="inlineStr">
        <is>
          <t>LibraryUrl</t>
        </is>
      </c>
      <c r="C17" s="10" t="inlineStr">
        <is>
          <t>text</t>
        </is>
      </c>
      <c r="D17" s="10" t="inlineStr">
        <is>
          <t>The web address of the library, for click through.</t>
        </is>
      </c>
      <c r="E17" s="10" t="inlineStr">
        <is>
          <t>Server relative URL</t>
        </is>
      </c>
      <c r="F17" s="10" t="inlineStr">
        <is>
          <t>/sites/edrms-cwrd/AnnualMeet</t>
        </is>
      </c>
      <c r="G17" s="10" t="inlineStr">
        <is>
          <t>EDRMS database</t>
        </is>
      </c>
      <c r="H17" s="10" t="inlineStr"/>
      <c r="I17" s="10" t="inlineStr"/>
    </row>
    <row r="18">
      <c r="A18" s="9" t="n">
        <v>14</v>
      </c>
      <c r="B18" s="18" t="inlineStr">
        <is>
          <t>LibraryLastActivityDate</t>
        </is>
      </c>
      <c r="C18" s="10" t="inlineStr">
        <is>
          <t>date</t>
        </is>
      </c>
      <c r="D18" s="10" t="inlineStr">
        <is>
          <t>The date anything in the library last changed. Used to judge whether a library is still in use.</t>
        </is>
      </c>
      <c r="E18" s="10" t="inlineStr">
        <is>
          <t>System generated</t>
        </is>
      </c>
      <c r="F18" s="10" t="inlineStr">
        <is>
          <t>2026-07-22</t>
        </is>
      </c>
      <c r="G18" s="10" t="inlineStr">
        <is>
          <t>Microsoft Graph</t>
        </is>
      </c>
      <c r="H18" s="10" t="inlineStr"/>
      <c r="I18" s="10" t="inlineStr">
        <is>
          <t>NEW. Microsoft Graph returns it as lastModifiedDateTime on the drive, from the same call that supplies LibraryCount. Repeated on every document row of that library.</t>
        </is>
      </c>
    </row>
    <row r="19">
      <c r="A19" s="9" t="n">
        <v>15</v>
      </c>
      <c r="B19" s="18" t="inlineStr">
        <is>
          <t>ListId</t>
        </is>
      </c>
      <c r="C19" s="10" t="inlineStr">
        <is>
          <t>uuid</t>
        </is>
      </c>
      <c r="D19" s="10" t="inlineStr">
        <is>
          <t>The GUID, meaning the system generated identifier, of the SharePoint library. Libraries can be renamed but this does not change, so every library figure groups on it.</t>
        </is>
      </c>
      <c r="E19" s="10" t="inlineStr">
        <is>
          <t>SharePoint list GUID</t>
        </is>
      </c>
      <c r="F19" s="10" t="inlineStr">
        <is>
          <t>a869c724-ac4f-4144-8526-69b5aeef3a68</t>
        </is>
      </c>
      <c r="G19" s="10" t="inlineStr">
        <is>
          <t>EDRMS database</t>
        </is>
      </c>
      <c r="H19" s="10" t="inlineStr"/>
      <c r="I19" s="10" t="inlineStr">
        <is>
          <t>Verified to match SharePoint's own list GUID, so the join to Graph is safe.</t>
        </is>
      </c>
    </row>
    <row r="20">
      <c r="A20" s="9" t="n">
        <v>16</v>
      </c>
      <c r="B20" s="18" t="inlineStr">
        <is>
          <t>ItemId</t>
        </is>
      </c>
      <c r="C20" s="10" t="inlineStr">
        <is>
          <t>integer</t>
        </is>
      </c>
      <c r="D20" s="10" t="inlineStr">
        <is>
          <t>The item number SharePoint assigns within a library. Unique inside one library, not across libraries.</t>
        </is>
      </c>
      <c r="E20" s="10" t="inlineStr">
        <is>
          <t>System generated</t>
        </is>
      </c>
      <c r="F20" s="10" t="inlineStr">
        <is>
          <t>203</t>
        </is>
      </c>
      <c r="G20" s="10" t="inlineStr">
        <is>
          <t>EDRMS database</t>
        </is>
      </c>
      <c r="H20" s="10" t="inlineStr"/>
      <c r="I20" s="10" t="inlineStr">
        <is>
          <t>With ListId this identifies exactly one item. Together they are the identity of a row.</t>
        </is>
      </c>
    </row>
    <row r="21">
      <c r="A21" s="9" t="n">
        <v>17</v>
      </c>
      <c r="B21" s="18" t="inlineStr">
        <is>
          <t>ADBLibraryCategory</t>
        </is>
      </c>
      <c r="C21" s="10" t="inlineStr">
        <is>
          <t>text</t>
        </is>
      </c>
      <c r="D21" s="10" t="inlineStr">
        <is>
          <t>The category the library belongs to, used to group records by classification.</t>
        </is>
      </c>
      <c r="E21" s="10" t="inlineStr">
        <is>
          <t>Common Document Library / Procurement / and the other values in the mapping list</t>
        </is>
      </c>
      <c r="F21" s="10" t="inlineStr">
        <is>
          <t>Common Document Library</t>
        </is>
      </c>
      <c r="G21" s="10" t="inlineStr">
        <is>
          <t>SharePoint list</t>
        </is>
      </c>
      <c r="H21" s="10" t="inlineStr">
        <is>
          <t>Retention Label Mapping list</t>
        </is>
      </c>
      <c r="I21" s="10" t="inlineStr">
        <is>
          <t>ADBMeta is empty. The same value is maintained today as Library Type in the Retention Label Mapping list.</t>
        </is>
      </c>
    </row>
    <row r="22">
      <c r="A22" s="9" t="n">
        <v>18</v>
      </c>
      <c r="B22" s="18" t="inlineStr">
        <is>
          <t>SiteName</t>
        </is>
      </c>
      <c r="C22" s="10" t="inlineStr">
        <is>
          <t>text</t>
        </is>
      </c>
      <c r="D22" s="10" t="inlineStr">
        <is>
          <t>The display name of the SharePoint site holding the file.</t>
        </is>
      </c>
      <c r="E22" s="10" t="inlineStr">
        <is>
          <t>Free text</t>
        </is>
      </c>
      <c r="F22" s="10" t="inlineStr">
        <is>
          <t>EDRMS CWRD</t>
        </is>
      </c>
      <c r="G22" s="10" t="inlineStr">
        <is>
          <t>EDRMS database</t>
        </is>
      </c>
      <c r="H22" s="10" t="inlineStr">
        <is>
          <t>Site Activity Table</t>
        </is>
      </c>
      <c r="I22" s="10" t="inlineStr"/>
    </row>
    <row r="23">
      <c r="A23" s="9" t="n">
        <v>19</v>
      </c>
      <c r="B23" s="18" t="inlineStr">
        <is>
          <t>SiteUrl</t>
        </is>
      </c>
      <c r="C23" s="10" t="inlineStr">
        <is>
          <t>text</t>
        </is>
      </c>
      <c r="D23" s="10" t="inlineStr">
        <is>
          <t>The web address of the site holding the file. This is the column that joins a document to its site.</t>
        </is>
      </c>
      <c r="E23" s="10" t="inlineStr">
        <is>
          <t>Absolute URL</t>
        </is>
      </c>
      <c r="F23" s="10" t="inlineStr">
        <is>
          <t>https://adb.sharepoint.com/sites/edrms-cwrd</t>
        </is>
      </c>
      <c r="G23" s="10" t="inlineStr">
        <is>
          <t>EDRMS database</t>
        </is>
      </c>
      <c r="H23" s="10" t="inlineStr">
        <is>
          <t>Site Activity Table</t>
        </is>
      </c>
      <c r="I23" s="10" t="inlineStr">
        <is>
          <t>The join key behind every department figure. Every existing row already carries it.</t>
        </is>
      </c>
    </row>
    <row r="24">
      <c r="A24" s="9" t="n">
        <v>20</v>
      </c>
      <c r="B24" s="18" t="inlineStr">
        <is>
          <t>SiteCreatedDate</t>
        </is>
      </c>
      <c r="C24" s="10" t="inlineStr">
        <is>
          <t>date</t>
        </is>
      </c>
      <c r="D24" s="10" t="inlineStr">
        <is>
          <t>The date the SharePoint site was created. Copied from the Site Activity Table so a document can be filtered by the age of its site without a join.</t>
        </is>
      </c>
      <c r="E24" s="10" t="inlineStr">
        <is>
          <t>System generated</t>
        </is>
      </c>
      <c r="F24" s="10" t="inlineStr">
        <is>
          <t>2026-01-18</t>
        </is>
      </c>
      <c r="G24" s="10" t="inlineStr">
        <is>
          <t>Microsoft Graph</t>
        </is>
      </c>
      <c r="H24" s="10" t="inlineStr">
        <is>
          <t>Site Activity Table</t>
        </is>
      </c>
      <c r="I24" s="10" t="inlineStr">
        <is>
          <t>NEW.</t>
        </is>
      </c>
    </row>
    <row r="25">
      <c r="A25" s="9" t="n">
        <v>21</v>
      </c>
      <c r="B25" s="18" t="inlineStr">
        <is>
          <t>IsEdrmsCompliant</t>
        </is>
      </c>
      <c r="C25" s="10" t="inlineStr">
        <is>
          <t>boolean</t>
        </is>
      </c>
      <c r="D25" s="10" t="inlineStr">
        <is>
          <t>Whether the site holding this document is an EDRMS compliant site, meaning it has the Declare as Record button.</t>
        </is>
      </c>
      <c r="E25" s="10" t="inlineStr">
        <is>
          <t>true / false</t>
        </is>
      </c>
      <c r="F25" s="10" t="inlineStr">
        <is>
          <t>true</t>
        </is>
      </c>
      <c r="G25" s="13" t="inlineStr">
        <is>
          <t>NEEDS A DECISION</t>
        </is>
      </c>
      <c r="H25" s="10" t="inlineStr">
        <is>
          <t>Site Activity Table</t>
        </is>
      </c>
      <c r="I25" s="10" t="inlineStr">
        <is>
          <t>NEW. Determined by whether the EDRMS app is installed on the site. Defines the population of this whole table.</t>
        </is>
      </c>
    </row>
    <row r="26">
      <c r="A26" s="9" t="n">
        <v>22</v>
      </c>
      <c r="B26" s="18" t="inlineStr">
        <is>
          <t>ADBDepartmentOwner</t>
        </is>
      </c>
      <c r="C26" s="10" t="inlineStr">
        <is>
          <t>text</t>
        </is>
      </c>
      <c r="D26" s="10" t="inlineStr">
        <is>
          <t>The department that owns the site holding this document. Inherited from the site rather than set on each document.</t>
        </is>
      </c>
      <c r="E26" s="10" t="inlineStr">
        <is>
          <t>Values from the Department term set</t>
        </is>
      </c>
      <c r="F26" s="10" t="inlineStr">
        <is>
          <t>CWRD</t>
        </is>
      </c>
      <c r="G26" s="13" t="inlineStr">
        <is>
          <t>NEEDS A DECISION</t>
        </is>
      </c>
      <c r="H26" s="10" t="inlineStr">
        <is>
          <t>Site Activity Table</t>
        </is>
      </c>
      <c r="I26" s="10" t="inlineStr">
        <is>
          <t>GAP. The SharePoint column exists and is empty on every row. Arrives from the RAC site mapping, loaded onto the site and inherited through SiteUrl.</t>
        </is>
      </c>
    </row>
    <row r="27">
      <c r="A27" s="9" t="n">
        <v>23</v>
      </c>
      <c r="B27" s="18" t="inlineStr">
        <is>
          <t>IsDeclaredRecord</t>
        </is>
      </c>
      <c r="C27" s="10" t="inlineStr">
        <is>
          <t>boolean</t>
        </is>
      </c>
      <c r="D27" s="10" t="inlineStr">
        <is>
          <t>Whether this document has been formally declared a record. This is the single most important column in the report, because it separates the numerator from the denominator in every rate.</t>
        </is>
      </c>
      <c r="E27" s="10" t="inlineStr">
        <is>
          <t>true / false</t>
        </is>
      </c>
      <c r="F27" s="10" t="inlineStr">
        <is>
          <t>true</t>
        </is>
      </c>
      <c r="G27" s="10" t="inlineStr">
        <is>
          <t>Derived at load</t>
        </is>
      </c>
      <c r="H27" s="10" t="inlineStr"/>
      <c r="I27" s="10" t="inlineStr">
        <is>
          <t>NEW but free. Derived at load: true where the document is present in Records, false where the scan found it and Records does not.</t>
        </is>
      </c>
    </row>
    <row r="28">
      <c r="A28" s="9" t="n">
        <v>24</v>
      </c>
      <c r="B28" s="18" t="inlineStr">
        <is>
          <t>CreatedDate</t>
        </is>
      </c>
      <c r="C28" s="10" t="inlineStr">
        <is>
          <t>timestamp with time zone</t>
        </is>
      </c>
      <c r="D28" s="10" t="inlineStr">
        <is>
          <t>The date and time the user declared the file as a record. Blank for a document that has never been declared.</t>
        </is>
      </c>
      <c r="E28" s="10" t="inlineStr">
        <is>
          <t>System generated</t>
        </is>
      </c>
      <c r="F28" s="10" t="inlineStr">
        <is>
          <t>2026-03-12 09:14:00+00</t>
        </is>
      </c>
      <c r="G28" s="10" t="inlineStr">
        <is>
          <t>EDRMS database</t>
        </is>
      </c>
      <c r="H28" s="10" t="inlineStr"/>
      <c r="I28" s="10" t="inlineStr">
        <is>
          <t>Every declaration date filter reads this column. Not the file's own creation date.</t>
        </is>
      </c>
    </row>
    <row r="29">
      <c r="A29" s="9" t="n">
        <v>25</v>
      </c>
      <c r="B29" s="18" t="inlineStr">
        <is>
          <t>CreatedBy</t>
        </is>
      </c>
      <c r="C29" s="10" t="inlineStr">
        <is>
          <t>text</t>
        </is>
      </c>
      <c r="D29" s="10" t="inlineStr">
        <is>
          <t>The User Principal Name, meaning the sign-in email address, of the person who declared the record.</t>
        </is>
      </c>
      <c r="E29" s="10" t="inlineStr">
        <is>
          <t>Valid ADB UPN</t>
        </is>
      </c>
      <c r="F29" s="10" t="inlineStr">
        <is>
          <t>jperez@adb.org</t>
        </is>
      </c>
      <c r="G29" s="10" t="inlineStr">
        <is>
          <t>EDRMS database</t>
        </is>
      </c>
      <c r="H29" s="10" t="inlineStr"/>
      <c r="I29" s="10" t="inlineStr"/>
    </row>
    <row r="30">
      <c r="A30" s="9" t="n">
        <v>26</v>
      </c>
      <c r="B30" s="18" t="inlineStr">
        <is>
          <t>DeclarationType</t>
        </is>
      </c>
      <c r="C30" s="10" t="inlineStr">
        <is>
          <t>integer</t>
        </is>
      </c>
      <c r="D30" s="10" t="inlineStr">
        <is>
          <t>Whether the record was declared individually or through a centralised process, held as a numeric code.</t>
        </is>
      </c>
      <c r="E30" s="10" t="inlineStr">
        <is>
          <t>System generated</t>
        </is>
      </c>
      <c r="F30" s="10" t="inlineStr">
        <is>
          <t>1</t>
        </is>
      </c>
      <c r="G30" s="10" t="inlineStr">
        <is>
          <t>EDRMS database</t>
        </is>
      </c>
      <c r="H30" s="10" t="inlineStr"/>
      <c r="I30" s="10" t="inlineStr">
        <is>
          <t>Deployed today as an integer. The code to label mapping needs confirming with the development team.</t>
        </is>
      </c>
    </row>
    <row r="31">
      <c r="A31" s="9" t="n">
        <v>27</v>
      </c>
      <c r="B31" s="18" t="inlineStr">
        <is>
          <t>HasPhysical</t>
        </is>
      </c>
      <c r="C31" s="10" t="inlineStr">
        <is>
          <t>boolean</t>
        </is>
      </c>
      <c r="D31" s="10" t="inlineStr">
        <is>
          <t>Whether a physical paper counterpart of this record exists.</t>
        </is>
      </c>
      <c r="E31" s="10" t="inlineStr">
        <is>
          <t>true / false</t>
        </is>
      </c>
      <c r="F31" s="10" t="inlineStr">
        <is>
          <t>false</t>
        </is>
      </c>
      <c r="G31" s="10" t="inlineStr">
        <is>
          <t>EDRMS database</t>
        </is>
      </c>
      <c r="H31" s="10" t="inlineStr"/>
      <c r="I31" s="10" t="inlineStr">
        <is>
          <t>Blank rather than false for undeclared documents, since neither answer is known for them.</t>
        </is>
      </c>
    </row>
    <row r="32">
      <c r="A32" s="9" t="n">
        <v>28</v>
      </c>
      <c r="B32" s="18" t="inlineStr">
        <is>
          <t>PhysicalCounterpartRetention</t>
        </is>
      </c>
      <c r="C32" s="10" t="inlineStr">
        <is>
          <t>text</t>
        </is>
      </c>
      <c r="D32" s="10" t="inlineStr">
        <is>
          <t>The retention that applies to the physical copy, maintained per library rather than per document.</t>
        </is>
      </c>
      <c r="E32" s="10" t="inlineStr">
        <is>
          <t>Long Term / Permanent</t>
        </is>
      </c>
      <c r="F32" s="10" t="inlineStr">
        <is>
          <t>Long Term</t>
        </is>
      </c>
      <c r="G32" s="10" t="inlineStr">
        <is>
          <t>SharePoint list</t>
        </is>
      </c>
      <c r="H32" s="10" t="inlineStr">
        <is>
          <t>Retention Label Mapping list</t>
        </is>
      </c>
      <c r="I32" s="10" t="inlineStr"/>
    </row>
    <row r="33">
      <c r="A33" s="9" t="n">
        <v>29</v>
      </c>
      <c r="B33" s="18" t="inlineStr">
        <is>
          <t>EDRMSRetentionLabel</t>
        </is>
      </c>
      <c r="C33" s="10" t="inlineStr">
        <is>
          <t>text</t>
        </is>
      </c>
      <c r="D33" s="10" t="inlineStr">
        <is>
          <t>The retention label applied to the file, which is what determines how long it is kept.</t>
        </is>
      </c>
      <c r="E33" s="10" t="inlineStr">
        <is>
          <t>Values from the Purview file plan</t>
        </is>
      </c>
      <c r="F33" s="10" t="inlineStr">
        <is>
          <t>10 years after declaration</t>
        </is>
      </c>
      <c r="G33" s="10" t="inlineStr">
        <is>
          <t>EDRMS database</t>
        </is>
      </c>
      <c r="H33" s="10" t="inlineStr"/>
      <c r="I33" s="10" t="inlineStr">
        <is>
          <t>A record with no label has no disposal date and cannot be scheduled at all.</t>
        </is>
      </c>
    </row>
    <row r="34">
      <c r="A34" s="9" t="n">
        <v>30</v>
      </c>
      <c r="B34" s="18" t="inlineStr">
        <is>
          <t>EDRMSDuration</t>
        </is>
      </c>
      <c r="C34" s="10" t="inlineStr">
        <is>
          <t>text</t>
        </is>
      </c>
      <c r="D34" s="10" t="inlineStr">
        <is>
          <t>The length of the retention period attached to the label.</t>
        </is>
      </c>
      <c r="E34" s="10" t="inlineStr">
        <is>
          <t>Free text</t>
        </is>
      </c>
      <c r="F34" s="10" t="inlineStr">
        <is>
          <t>10</t>
        </is>
      </c>
      <c r="G34" s="10" t="inlineStr">
        <is>
          <t>EDRMS database</t>
        </is>
      </c>
      <c r="H34" s="10" t="inlineStr"/>
      <c r="I34" s="10" t="inlineStr">
        <is>
          <t>Stored as text rather than a number so it can hold Permanent alongside 10. Cast before doing arithmetic on it.</t>
        </is>
      </c>
    </row>
    <row r="35">
      <c r="A35" s="9" t="n">
        <v>31</v>
      </c>
      <c r="B35" s="18" t="inlineStr">
        <is>
          <t>EDRMSRetentionLabelApplied</t>
        </is>
      </c>
      <c r="C35" s="10" t="inlineStr">
        <is>
          <t>timestamp with time zone</t>
        </is>
      </c>
      <c r="D35" s="10" t="inlineStr">
        <is>
          <t>The date and time the retention label was applied to the file.</t>
        </is>
      </c>
      <c r="E35" s="10" t="inlineStr">
        <is>
          <t>System generated</t>
        </is>
      </c>
      <c r="F35" s="10" t="inlineStr">
        <is>
          <t>2026-03-12 09:20:00+00</t>
        </is>
      </c>
      <c r="G35" s="10" t="inlineStr">
        <is>
          <t>EDRMS database</t>
        </is>
      </c>
      <c r="H35" s="10" t="inlineStr"/>
      <c r="I35" s="10" t="inlineStr">
        <is>
          <t>Never use this to date a declaration. A label can be applied to a document that was never declared.</t>
        </is>
      </c>
    </row>
    <row r="36">
      <c r="A36" s="9" t="n">
        <v>32</v>
      </c>
      <c r="B36" s="18" t="inlineStr">
        <is>
          <t>EDRMSDueDateForDisposal</t>
        </is>
      </c>
      <c r="C36" s="10" t="inlineStr">
        <is>
          <t>date</t>
        </is>
      </c>
      <c r="D36" s="10" t="inlineStr">
        <is>
          <t>The date the record becomes due for disposal, computed as the label applied date plus the duration.</t>
        </is>
      </c>
      <c r="E36" s="10" t="inlineStr">
        <is>
          <t>System generated</t>
        </is>
      </c>
      <c r="F36" s="10" t="inlineStr">
        <is>
          <t>2036-03-12</t>
        </is>
      </c>
      <c r="G36" s="10" t="inlineStr">
        <is>
          <t>EDRMS database</t>
        </is>
      </c>
      <c r="H36" s="10" t="inlineStr"/>
      <c r="I36" s="10" t="inlineStr">
        <is>
          <t>Already computed in the source database. Records due for disposal is a count over this column and needs nothing new.</t>
        </is>
      </c>
    </row>
    <row r="37">
      <c r="A37" s="9" t="n">
        <v>33</v>
      </c>
      <c r="B37" s="18" t="inlineStr">
        <is>
          <t>RetentionStatus</t>
        </is>
      </c>
      <c r="C37" s="10" t="inlineStr">
        <is>
          <t>text</t>
        </is>
      </c>
      <c r="D37" s="10" t="inlineStr">
        <is>
          <t>The retention classification derived from the duration.</t>
        </is>
      </c>
      <c r="E37" s="10" t="inlineStr">
        <is>
          <t>Values maintained in EDRMSMasters</t>
        </is>
      </c>
      <c r="F37" s="10" t="inlineStr">
        <is>
          <t>Active</t>
        </is>
      </c>
      <c r="G37" s="10" t="inlineStr">
        <is>
          <t>EDRMS database</t>
        </is>
      </c>
      <c r="H37" s="10" t="inlineStr">
        <is>
          <t>EDRMSMasters</t>
        </is>
      </c>
      <c r="I37" s="10" t="inlineStr"/>
    </row>
    <row r="38">
      <c r="A38" s="9" t="n">
        <v>34</v>
      </c>
      <c r="B38" s="18" t="inlineStr">
        <is>
          <t>SensitivityLabelName</t>
        </is>
      </c>
      <c r="C38" s="10" t="inlineStr">
        <is>
          <t>text</t>
        </is>
      </c>
      <c r="D38" s="10" t="inlineStr">
        <is>
          <t>The sensitivity label applied to the file, such as Internal or Confidential.</t>
        </is>
      </c>
      <c r="E38" s="10" t="inlineStr">
        <is>
          <t>Values from the DRM Classification Information term set</t>
        </is>
      </c>
      <c r="F38" s="10" t="inlineStr">
        <is>
          <t>Internal</t>
        </is>
      </c>
      <c r="G38" s="10" t="inlineStr">
        <is>
          <t>EDRMS database</t>
        </is>
      </c>
      <c r="H38" s="10" t="inlineStr"/>
      <c r="I38" s="10" t="inlineStr">
        <is>
          <t>Not on any current dashboard. Carried because it is free and the obvious basis for a protection view.</t>
        </is>
      </c>
    </row>
    <row r="39">
      <c r="A39" s="9" t="n">
        <v>35</v>
      </c>
      <c r="B39" s="18" t="inlineStr">
        <is>
          <t>IsDeleted</t>
        </is>
      </c>
      <c r="C39" s="10" t="inlineStr">
        <is>
          <t>boolean</t>
        </is>
      </c>
      <c r="D39" s="10" t="inlineStr">
        <is>
          <t>Soft delete flag. Every count on every dashboard excludes rows where this is true.</t>
        </is>
      </c>
      <c r="E39" s="10" t="inlineStr">
        <is>
          <t>true / false</t>
        </is>
      </c>
      <c r="F39" s="10" t="inlineStr">
        <is>
          <t>false</t>
        </is>
      </c>
      <c r="G39" s="10" t="inlineStr">
        <is>
          <t>Derived at load</t>
        </is>
      </c>
      <c r="H39" s="10" t="inlineStr"/>
      <c r="I39" s="10" t="inlineStr">
        <is>
          <t>For undeclared documents, absence from the next scan is the delete signal.</t>
        </is>
      </c>
    </row>
    <row r="40">
      <c r="A40" s="9" t="n">
        <v>36</v>
      </c>
      <c r="B40" s="18" t="inlineStr">
        <is>
          <t>RowLoadedDate</t>
        </is>
      </c>
      <c r="C40" s="10" t="inlineStr">
        <is>
          <t>timestamp with time zone</t>
        </is>
      </c>
      <c r="D40" s="10" t="inlineStr">
        <is>
          <t>The date and time this row was last written by the refresh job.</t>
        </is>
      </c>
      <c r="E40" s="10" t="inlineStr">
        <is>
          <t>System generated</t>
        </is>
      </c>
      <c r="F40" s="10" t="inlineStr">
        <is>
          <t>2026-07-27 06:00:00+00</t>
        </is>
      </c>
      <c r="G40" s="10" t="inlineStr">
        <is>
          <t>Job generated</t>
        </is>
      </c>
      <c r="H40" s="10" t="inlineStr"/>
      <c r="I40" s="10" t="inlineStr">
        <is>
          <t>NEW. Operational only. Lets a failed or partial refresh be spotted.</t>
        </is>
      </c>
    </row>
  </sheetData>
  <autoFilter ref="A4:I4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SITE ACTIVITY TABLE</t>
        </is>
      </c>
      <c r="B1" s="6" t="n"/>
      <c r="C1" s="6" t="n"/>
      <c r="D1" s="6" t="n"/>
      <c r="E1" s="6" t="n"/>
      <c r="F1" s="6" t="n"/>
      <c r="G1" s="6" t="n"/>
      <c r="H1" s="6" t="n"/>
      <c r="I1" s="6" t="n"/>
    </row>
    <row r="2" ht="42" customHeight="1">
      <c r="A2" s="7" t="inlineStr">
        <is>
          <t>One row per SharePoint site. About 1,057 rows. Exists for the two things a document level table cannot do: count a site that holds no documents, and hold visit and viewer counts that are measured per site and would be nonsense repeated on every document row.</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site row of the snapshot.</t>
        </is>
      </c>
      <c r="E5" s="10" t="inlineStr">
        <is>
          <t>System generated</t>
        </is>
      </c>
      <c r="F5" s="10" t="inlineStr">
        <is>
          <t>8c1d47b2-93ae-4f60-b1d5-2e7a6f0c9d31</t>
        </is>
      </c>
      <c r="G5" s="10" t="inlineStr">
        <is>
          <t>Job generated</t>
        </is>
      </c>
      <c r="H5" s="10" t="inlineStr"/>
      <c r="I5" s="10" t="inlineStr"/>
    </row>
    <row r="6">
      <c r="A6" s="9" t="n">
        <v>2</v>
      </c>
      <c r="B6" s="18" t="inlineStr">
        <is>
          <t>SnapshotDate</t>
        </is>
      </c>
      <c r="C6" s="10" t="inlineStr">
        <is>
          <t>date</t>
        </is>
      </c>
      <c r="D6" s="10" t="inlineStr">
        <is>
          <t>The date the refresh job captured this data. The same value on every row of a run.</t>
        </is>
      </c>
      <c r="E6" s="10" t="inlineStr">
        <is>
          <t>System generated</t>
        </is>
      </c>
      <c r="F6" s="10" t="inlineStr">
        <is>
          <t>2026-07-27</t>
        </is>
      </c>
      <c r="G6" s="10" t="inlineStr">
        <is>
          <t>Job generated</t>
        </is>
      </c>
      <c r="H6" s="10" t="inlineStr"/>
      <c r="I6" s="10" t="inlineStr">
        <is>
          <t>NEW. PART OF THE PRIMARY KEY. This table is RETAINED: every weekly run inserts a new set of rows rather than replacing the last, so a site has one row per week. Reports read the most recent snapshot unless a date range is applied. The earliest selectable date is the first run, because history that was never captured cannot be recovered.</t>
        </is>
      </c>
    </row>
    <row r="7">
      <c r="A7" s="9" t="n">
        <v>3</v>
      </c>
      <c r="B7" s="18" t="inlineStr">
        <is>
          <t>SiteId</t>
        </is>
      </c>
      <c r="C7" s="10" t="inlineStr">
        <is>
          <t>uuid</t>
        </is>
      </c>
      <c r="D7" s="10" t="inlineStr">
        <is>
          <t>The GUID, meaning the system generated identifier, of the SharePoint site. Stable across a rename, unlike the URL.</t>
        </is>
      </c>
      <c r="E7" s="10" t="inlineStr">
        <is>
          <t>SharePoint site GUID</t>
        </is>
      </c>
      <c r="F7" s="10" t="inlineStr">
        <is>
          <t>019adc9b-031d-4edc-b62f-512ed4671947</t>
        </is>
      </c>
      <c r="G7" s="10" t="inlineStr">
        <is>
          <t>M365 usage report</t>
        </is>
      </c>
      <c r="H7" s="10" t="inlineStr"/>
      <c r="I7" s="10" t="inlineStr">
        <is>
          <t>NEW. The usage export identifies sites by this and leaves Site URL blank on every row, so the refresh job must merge the export with a Graph site list to connect a GUID to a URL.</t>
        </is>
      </c>
    </row>
    <row r="8">
      <c r="A8" s="9" t="n">
        <v>4</v>
      </c>
      <c r="B8" s="18" t="inlineStr">
        <is>
          <t>SiteUrl</t>
        </is>
      </c>
      <c r="C8" s="10" t="inlineStr">
        <is>
          <t>text</t>
        </is>
      </c>
      <c r="D8" s="10" t="inlineStr">
        <is>
          <t>The web address of the site. This is the column that joins this table to the Utilization Report Table.</t>
        </is>
      </c>
      <c r="E8" s="10" t="inlineStr">
        <is>
          <t>Absolute URL</t>
        </is>
      </c>
      <c r="F8" s="10" t="inlineStr">
        <is>
          <t>https://adb.sharepoint.com/sites/edrms-cwrd</t>
        </is>
      </c>
      <c r="G8" s="10" t="inlineStr">
        <is>
          <t>EDRMS database</t>
        </is>
      </c>
      <c r="H8" s="10" t="inlineStr">
        <is>
          <t>Utilization Report Table</t>
        </is>
      </c>
      <c r="I8" s="10" t="inlineStr">
        <is>
          <t>NOT available from the usage export, where it is empty on all 2,575 rows. Comes from Microsoft Graph, matched to the export on SiteId.</t>
        </is>
      </c>
    </row>
    <row r="9">
      <c r="A9" s="9" t="n">
        <v>5</v>
      </c>
      <c r="B9" s="18" t="inlineStr">
        <is>
          <t>SiteName</t>
        </is>
      </c>
      <c r="C9" s="10" t="inlineStr">
        <is>
          <t>text</t>
        </is>
      </c>
      <c r="D9" s="10" t="inlineStr">
        <is>
          <t>The display name of the site.</t>
        </is>
      </c>
      <c r="E9" s="10" t="inlineStr">
        <is>
          <t>Free text</t>
        </is>
      </c>
      <c r="F9" s="10" t="inlineStr">
        <is>
          <t>EDRMS CWRD</t>
        </is>
      </c>
      <c r="G9" s="10" t="inlineStr">
        <is>
          <t>EDRMS database</t>
        </is>
      </c>
      <c r="H9" s="10" t="inlineStr"/>
      <c r="I9" s="10" t="inlineStr"/>
    </row>
    <row r="10">
      <c r="A10" s="9" t="n">
        <v>6</v>
      </c>
      <c r="B10" s="18" t="inlineStr">
        <is>
          <t>SiteCreatedDate</t>
        </is>
      </c>
      <c r="C10" s="10" t="inlineStr">
        <is>
          <t>date</t>
        </is>
      </c>
      <c r="D10" s="10" t="inlineStr">
        <is>
          <t>The date the SharePoint site was created.</t>
        </is>
      </c>
      <c r="E10" s="10" t="inlineStr">
        <is>
          <t>System generated</t>
        </is>
      </c>
      <c r="F10" s="10" t="inlineStr">
        <is>
          <t>2026-01-18</t>
        </is>
      </c>
      <c r="G10" s="10" t="inlineStr">
        <is>
          <t>Microsoft Graph</t>
        </is>
      </c>
      <c r="H10" s="10" t="inlineStr"/>
      <c r="I10" s="10" t="inlineStr">
        <is>
          <t>NEW. Microsoft Graph returns it as createdDateTime on every site.</t>
        </is>
      </c>
    </row>
    <row r="11">
      <c r="A11" s="9" t="n">
        <v>7</v>
      </c>
      <c r="B11" s="18" t="inlineStr">
        <is>
          <t>IsEdrmsCompliant</t>
        </is>
      </c>
      <c r="C11" s="10" t="inlineStr">
        <is>
          <t>boolean</t>
        </is>
      </c>
      <c r="D11" s="10" t="inlineStr">
        <is>
          <t>Whether this is an EDRMS compliant site, meaning the Declare as Record button is available in it.</t>
        </is>
      </c>
      <c r="E11" s="10" t="inlineStr">
        <is>
          <t>true / false</t>
        </is>
      </c>
      <c r="F11" s="10" t="inlineStr">
        <is>
          <t>true</t>
        </is>
      </c>
      <c r="G11" s="13" t="inlineStr">
        <is>
          <t>NEEDS A DECISION</t>
        </is>
      </c>
      <c r="H11" s="10" t="inlineStr"/>
      <c r="I11" s="10" t="inlineStr">
        <is>
          <t>NEW. Determined by whether the EDRMS app is installed on the site. Product ID {B255A2AF-7F63-4A30-966A-5D5FD99F97D7}.</t>
        </is>
      </c>
    </row>
    <row r="12">
      <c r="A12" s="9" t="n">
        <v>8</v>
      </c>
      <c r="B12" s="18" t="inlineStr">
        <is>
          <t>ADBDepartmentOwner</t>
        </is>
      </c>
      <c r="C12" s="10" t="inlineStr">
        <is>
          <t>text</t>
        </is>
      </c>
      <c r="D12" s="10" t="inlineStr">
        <is>
          <t>The department that owns this site.</t>
        </is>
      </c>
      <c r="E12" s="10" t="inlineStr">
        <is>
          <t>Values from the Department term set</t>
        </is>
      </c>
      <c r="F12" s="10" t="inlineStr">
        <is>
          <t>CWRD</t>
        </is>
      </c>
      <c r="G12" s="13" t="inlineStr">
        <is>
          <t>NEEDS A DECISION</t>
        </is>
      </c>
      <c r="H12" s="10" t="inlineStr"/>
      <c r="I12" s="10" t="inlineStr">
        <is>
          <t>GAP. Nothing in SharePoint supplies it. Loaded once from the RAC site mapping, roughly 1,057 rows, and inherited by every document in the site.</t>
        </is>
      </c>
    </row>
    <row r="13">
      <c r="A13" s="9" t="n">
        <v>9</v>
      </c>
      <c r="B13" s="18" t="inlineStr">
        <is>
          <t>ReportRefreshDate</t>
        </is>
      </c>
      <c r="C13" s="10" t="inlineStr">
        <is>
          <t>date</t>
        </is>
      </c>
      <c r="D13" s="10" t="inlineStr">
        <is>
          <t>The last day Microsoft's usage figures actually cover. Every count on this row is measured over the window ending on this date, not on the date the job ran.</t>
        </is>
      </c>
      <c r="E13" s="10" t="inlineStr">
        <is>
          <t>System generated</t>
        </is>
      </c>
      <c r="F13" s="10" t="inlineStr">
        <is>
          <t>2026-08-10</t>
        </is>
      </c>
      <c r="G13" s="10" t="inlineStr">
        <is>
          <t>M365 usage report</t>
        </is>
      </c>
      <c r="H13" s="10" t="inlineStr"/>
      <c r="I13" s="10" t="inlineStr">
        <is>
          <t>NEW. Report Refresh Date in both usage exports. WITHOUT THIS COLUMN THE VISIT COUNTS HAVE NO DATES ATTACHED. Microsoft refreshes on its own schedule and lags: an export taken on 12 Aug 2026 carried figures as at 10 Aug, a two day lag, and the lag varies. A date range must tile on THIS column, never on SnapshotDate, or consecutive weekly windows overlap or leave gaps and the total is quietly wrong. The window covered is ReportRefreshDate minus the period plus one, through ReportRefreshDate.</t>
        </is>
      </c>
    </row>
    <row r="14">
      <c r="A14" s="9" t="n">
        <v>10</v>
      </c>
      <c r="B14" s="18" t="inlineStr">
        <is>
          <t>SiteVisits7</t>
        </is>
      </c>
      <c r="C14" s="10" t="inlineStr">
        <is>
          <t>integer</t>
        </is>
      </c>
      <c r="D14" s="10" t="inlineStr">
        <is>
          <t>The number of page views in the site over the last 7 days.</t>
        </is>
      </c>
      <c r="E14" s="10" t="inlineStr">
        <is>
          <t>System generated</t>
        </is>
      </c>
      <c r="F14" s="10" t="inlineStr">
        <is>
          <t>412</t>
        </is>
      </c>
      <c r="G14" s="10" t="inlineStr">
        <is>
          <t>M365 usage report</t>
        </is>
      </c>
      <c r="H14" s="10" t="inlineStr"/>
      <c r="I14" s="10" t="inlineStr">
        <is>
          <t>NEW. From the Microsoft 365 SharePoint site usage report. THIS IS THE COLUMN A DATE RANGE SUMS. Consecutive weekly snapshots of a 7 day window do not overlap, so adding them across the weeks in a range gives the visits for that range correctly.</t>
        </is>
      </c>
    </row>
    <row r="15">
      <c r="A15" s="9" t="n">
        <v>11</v>
      </c>
      <c r="B15" s="18" t="inlineStr">
        <is>
          <t>SiteVisits30</t>
        </is>
      </c>
      <c r="C15" s="10" t="inlineStr">
        <is>
          <t>integer</t>
        </is>
      </c>
      <c r="D15" s="10" t="inlineStr">
        <is>
          <t>The number of page views in the site over the last 30 days.</t>
        </is>
      </c>
      <c r="E15" s="10" t="inlineStr">
        <is>
          <t>System generated</t>
        </is>
      </c>
      <c r="F15" s="10" t="inlineStr">
        <is>
          <t>4812</t>
        </is>
      </c>
      <c r="G15" s="10" t="inlineStr">
        <is>
          <t>M365 usage report</t>
        </is>
      </c>
      <c r="H15" s="10" t="inlineStr"/>
      <c r="I15" s="10" t="inlineStr">
        <is>
          <t>NEW. Same report at period='D30'. NEVER SUM THIS ACROSS SNAPSHOTS. Weekly runs of a 30 day window overlap heavily, so adding four of them counts most days four times. Point in time reading only.</t>
        </is>
      </c>
    </row>
    <row r="16">
      <c r="A16" s="9" t="n">
        <v>12</v>
      </c>
      <c r="B16" s="18" t="inlineStr">
        <is>
          <t>SiteVisits90</t>
        </is>
      </c>
      <c r="C16" s="10" t="inlineStr">
        <is>
          <t>integer</t>
        </is>
      </c>
      <c r="D16" s="10" t="inlineStr">
        <is>
          <t>The number of page views in the site over the last 90 days.</t>
        </is>
      </c>
      <c r="E16" s="10" t="inlineStr">
        <is>
          <t>System generated</t>
        </is>
      </c>
      <c r="F16" s="10" t="inlineStr">
        <is>
          <t>13240</t>
        </is>
      </c>
      <c r="G16" s="10" t="inlineStr">
        <is>
          <t>M365 usage report</t>
        </is>
      </c>
      <c r="H16" s="10" t="inlineStr"/>
      <c r="I16" s="10" t="inlineStr">
        <is>
          <t>NEW. Same report at period='D90'. Never sum across snapshots, for the same reason as the 30 day figure.</t>
        </is>
      </c>
    </row>
    <row r="17">
      <c r="A17" s="9" t="n">
        <v>13</v>
      </c>
      <c r="B17" s="18" t="inlineStr">
        <is>
          <t>UniqueViewers7</t>
        </is>
      </c>
      <c r="C17" s="10" t="inlineStr">
        <is>
          <t>integer</t>
        </is>
      </c>
      <c r="D17" s="10" t="inlineStr">
        <is>
          <t>The number of distinct people who opened something in the site over the last 7 days.</t>
        </is>
      </c>
      <c r="E17" s="10" t="inlineStr">
        <is>
          <t>System generated</t>
        </is>
      </c>
      <c r="F17" s="10" t="inlineStr">
        <is>
          <t>38</t>
        </is>
      </c>
      <c r="G17" s="10" t="inlineStr">
        <is>
          <t>Site analytics</t>
        </is>
      </c>
      <c r="H17" s="10" t="inlineStr"/>
      <c r="I17" s="10" t="inlineStr">
        <is>
          <t>NEW. NOT in the usage export, which has no unique viewer column at all. Comes from GET /sites/{id}/analytics/lastSevenDays, the actorCount field. Do not sum across sites to count people: anyone working in three sites is counted three times.</t>
        </is>
      </c>
    </row>
    <row r="18">
      <c r="A18" s="9" t="n">
        <v>14</v>
      </c>
      <c r="B18" s="18" t="inlineStr">
        <is>
          <t>UniqueViewersAllTime</t>
        </is>
      </c>
      <c r="C18" s="10" t="inlineStr">
        <is>
          <t>integer</t>
        </is>
      </c>
      <c r="D18" s="10" t="inlineStr">
        <is>
          <t>The number of distinct people who have ever opened something in the site.</t>
        </is>
      </c>
      <c r="E18" s="10" t="inlineStr">
        <is>
          <t>System generated</t>
        </is>
      </c>
      <c r="F18" s="10" t="inlineStr">
        <is>
          <t>122</t>
        </is>
      </c>
      <c r="G18" s="10" t="inlineStr">
        <is>
          <t>Site analytics</t>
        </is>
      </c>
      <c r="H18" s="10" t="inlineStr"/>
      <c r="I18" s="10" t="inlineStr">
        <is>
          <t>NEW. Replaces a UniqueViewers30 column that could not be filled: site analytics offers all time and last seven days only, and there is no 30 or 90 day window. Verified against the tenant, which returned actorCount 12 for org_csd_1.4testsite.</t>
        </is>
      </c>
    </row>
    <row r="19">
      <c r="A19" s="9" t="n">
        <v>15</v>
      </c>
      <c r="B19" s="18" t="inlineStr">
        <is>
          <t>LibraryCount</t>
        </is>
      </c>
      <c r="C19" s="10" t="inlineStr">
        <is>
          <t>integer</t>
        </is>
      </c>
      <c r="D19" s="10" t="inlineStr">
        <is>
          <t>The number of document libraries in the site.</t>
        </is>
      </c>
      <c r="E19" s="10" t="inlineStr">
        <is>
          <t>System generated</t>
        </is>
      </c>
      <c r="F19" s="10" t="inlineStr">
        <is>
          <t>12</t>
        </is>
      </c>
      <c r="G19" s="10" t="inlineStr">
        <is>
          <t>Microsoft Graph</t>
        </is>
      </c>
      <c r="H19" s="10" t="inlineStr"/>
      <c r="I19" s="10" t="inlineStr">
        <is>
          <t>NEW. Microsoft Graph, GET /sites/{id}/drives, counted.</t>
        </is>
      </c>
    </row>
    <row r="20">
      <c r="A20" s="9" t="n">
        <v>16</v>
      </c>
      <c r="B20" s="18" t="inlineStr">
        <is>
          <t>LastActivityDate</t>
        </is>
      </c>
      <c r="C20" s="10" t="inlineStr">
        <is>
          <t>date</t>
        </is>
      </c>
      <c r="D20" s="10" t="inlineStr">
        <is>
          <t>The date anything in the site was last touched.</t>
        </is>
      </c>
      <c r="E20" s="10" t="inlineStr">
        <is>
          <t>System generated</t>
        </is>
      </c>
      <c r="F20" s="10" t="inlineStr">
        <is>
          <t>2026-07-24</t>
        </is>
      </c>
      <c r="G20" s="10" t="inlineStr">
        <is>
          <t>M365 usage report</t>
        </is>
      </c>
      <c r="H20" s="10" t="inlineStr"/>
      <c r="I20" s="10" t="inlineStr">
        <is>
          <t>NEW. A site with no activity for 90 days is reported as inactive. The threshold is applied in the report, not stored here.</t>
        </is>
      </c>
    </row>
    <row r="21">
      <c r="A21" s="9" t="n">
        <v>17</v>
      </c>
      <c r="B21" s="18" t="inlineStr">
        <is>
          <t>StorageUsed</t>
        </is>
      </c>
      <c r="C21" s="10" t="inlineStr">
        <is>
          <t>bigint</t>
        </is>
      </c>
      <c r="D21" s="10" t="inlineStr">
        <is>
          <t>The storage consumed by the site, in bytes.</t>
        </is>
      </c>
      <c r="E21" s="10" t="inlineStr">
        <is>
          <t>System generated</t>
        </is>
      </c>
      <c r="F21" s="10" t="inlineStr">
        <is>
          <t>13636370432</t>
        </is>
      </c>
      <c r="G21" s="10" t="inlineStr">
        <is>
          <t>M365 usage report</t>
        </is>
      </c>
      <c r="H21" s="10" t="inlineStr"/>
      <c r="I21" s="10" t="inlineStr">
        <is>
          <t>NEW. Includes version history, so it reads higher than the sum of FileSize. Expected, not an error.</t>
        </is>
      </c>
    </row>
    <row r="22">
      <c r="A22" s="9" t="n">
        <v>18</v>
      </c>
      <c r="B22" s="18" t="inlineStr">
        <is>
          <t>SiteOwner</t>
        </is>
      </c>
      <c r="C22" s="10" t="inlineStr">
        <is>
          <t>text</t>
        </is>
      </c>
      <c r="D22" s="10" t="inlineStr">
        <is>
          <t>The User Principal Name of the primary site administrator, meaning who to contact about a site that has gone quiet.</t>
        </is>
      </c>
      <c r="E22" s="10" t="inlineStr">
        <is>
          <t>Valid ADB UPN</t>
        </is>
      </c>
      <c r="F22" s="10" t="inlineStr">
        <is>
          <t>jperez@adb.org</t>
        </is>
      </c>
      <c r="G22" s="10" t="inlineStr">
        <is>
          <t>M365 usage report</t>
        </is>
      </c>
      <c r="H22" s="10" t="inlineStr"/>
      <c r="I22" s="10" t="inlineStr">
        <is>
          <t>NEW. Usage export, Owner Principal Name. Verified: 1,899 of 1,918 live sites carry one, so 19 have no owner at all.</t>
        </is>
      </c>
    </row>
    <row r="23">
      <c r="A23" s="9" t="n">
        <v>19</v>
      </c>
      <c r="B23" s="18" t="inlineStr">
        <is>
          <t>ProjectEndDate</t>
        </is>
      </c>
      <c r="C23" s="10" t="inlineStr">
        <is>
          <t>date</t>
        </is>
      </c>
      <c r="D23" s="10" t="inlineStr">
        <is>
          <t>The project end date recorded against the site.</t>
        </is>
      </c>
      <c r="E23" s="10" t="inlineStr">
        <is>
          <t>System generated</t>
        </is>
      </c>
      <c r="F23" s="10" t="inlineStr">
        <is>
          <t>2027-12-31</t>
        </is>
      </c>
      <c r="G23" s="10" t="inlineStr">
        <is>
          <t>EDRMS database</t>
        </is>
      </c>
      <c r="H23" s="10" t="inlineStr">
        <is>
          <t>ADBSites</t>
        </is>
      </c>
      <c r="I23" s="10" t="inlineStr">
        <is>
          <t>Already exists and is populated. The obvious basis for a site closure view.</t>
        </is>
      </c>
    </row>
    <row r="24">
      <c r="A24" s="9" t="n">
        <v>20</v>
      </c>
      <c r="B24" s="18" t="inlineStr">
        <is>
          <t>IsDeleted</t>
        </is>
      </c>
      <c r="C24" s="10" t="inlineStr">
        <is>
          <t>boolean</t>
        </is>
      </c>
      <c r="D24" s="10" t="inlineStr">
        <is>
          <t>Soft delete flag. Closed sites stay in the table so historical figures do not change.</t>
        </is>
      </c>
      <c r="E24" s="10" t="inlineStr">
        <is>
          <t>true / false</t>
        </is>
      </c>
      <c r="F24" s="10" t="inlineStr">
        <is>
          <t>false</t>
        </is>
      </c>
      <c r="G24" s="10" t="inlineStr">
        <is>
          <t>Derived at load</t>
        </is>
      </c>
      <c r="H24" s="10" t="inlineStr"/>
      <c r="I24" s="10" t="inlineStr">
        <is>
          <t>A site missing from the next export is the delete signal.</t>
        </is>
      </c>
    </row>
    <row r="25">
      <c r="A25" s="9" t="n">
        <v>21</v>
      </c>
      <c r="B25" s="18" t="inlineStr">
        <is>
          <t>RowLoadedDate</t>
        </is>
      </c>
      <c r="C25" s="10" t="inlineStr">
        <is>
          <t>timestamp with time zone</t>
        </is>
      </c>
      <c r="D25" s="10" t="inlineStr">
        <is>
          <t>The date and time this row was last written.</t>
        </is>
      </c>
      <c r="E25" s="10" t="inlineStr">
        <is>
          <t>System generated</t>
        </is>
      </c>
      <c r="F25" s="10" t="inlineStr">
        <is>
          <t>2026-07-27 06:00:00+00</t>
        </is>
      </c>
      <c r="G25" s="10" t="inlineStr">
        <is>
          <t>Job generated</t>
        </is>
      </c>
      <c r="H25" s="10" t="inlineStr"/>
      <c r="I25" s="10" t="inlineStr">
        <is>
          <t>NEW. Operational only.</t>
        </is>
      </c>
    </row>
  </sheetData>
  <autoFilter ref="A4:I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USER ACTIVITY TABLE</t>
        </is>
      </c>
      <c r="B1" s="6" t="n"/>
      <c r="C1" s="6" t="n"/>
      <c r="D1" s="6" t="n"/>
      <c r="E1" s="6" t="n"/>
      <c r="F1" s="6" t="n"/>
      <c r="G1" s="6" t="n"/>
      <c r="H1" s="6" t="n"/>
      <c r="I1" s="6" t="n"/>
    </row>
    <row r="2" ht="42" customHeight="1">
      <c r="A2" s="7" t="inlineStr">
        <is>
          <t>One row per person who used SharePoint in the window. About 9,400 rows. Exists because Total EDRMS Users counts people, and a person working in three sites appears in three rows of the Site Activity Table, so summing UniqueViewers30 overstates headcount.</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person row of the snapshot.</t>
        </is>
      </c>
      <c r="E5" s="10" t="inlineStr">
        <is>
          <t>System generated</t>
        </is>
      </c>
      <c r="F5" s="10" t="inlineStr">
        <is>
          <t>b47f2e0a-5c93-41d8-8a16-7f3d05e6b8c2</t>
        </is>
      </c>
      <c r="G5" s="10" t="inlineStr">
        <is>
          <t>Job generated</t>
        </is>
      </c>
      <c r="H5" s="10" t="inlineStr"/>
      <c r="I5" s="10" t="inlineStr"/>
    </row>
    <row r="6">
      <c r="A6" s="9" t="n">
        <v>2</v>
      </c>
      <c r="B6" s="18" t="inlineStr">
        <is>
          <t>SnapshotDate</t>
        </is>
      </c>
      <c r="C6" s="10" t="inlineStr">
        <is>
          <t>date</t>
        </is>
      </c>
      <c r="D6" s="10" t="inlineStr">
        <is>
          <t>The date the refresh job captured this data.</t>
        </is>
      </c>
      <c r="E6" s="10" t="inlineStr">
        <is>
          <t>System generated</t>
        </is>
      </c>
      <c r="F6" s="10" t="inlineStr">
        <is>
          <t>2026-07-27</t>
        </is>
      </c>
      <c r="G6" s="10" t="inlineStr">
        <is>
          <t>Job generated</t>
        </is>
      </c>
      <c r="H6" s="10" t="inlineStr"/>
      <c r="I6" s="10" t="inlineStr">
        <is>
          <t>NEW. PART OF THE PRIMARY KEY. Retained, one row per person per week. Counting distinct UserPrincipalName across the snapshots in a range gives distinct people over that range, which is the only correct way to answer it: viewer counts cannot be added up, because the same person appearing in four weeks would be counted four times.</t>
        </is>
      </c>
    </row>
    <row r="7">
      <c r="A7" s="9" t="n">
        <v>3</v>
      </c>
      <c r="B7" s="18" t="inlineStr">
        <is>
          <t>ReportRefreshDate</t>
        </is>
      </c>
      <c r="C7" s="10" t="inlineStr">
        <is>
          <t>date</t>
        </is>
      </c>
      <c r="D7" s="10" t="inlineStr">
        <is>
          <t>The last day Microsoft's usage figures actually cover. Every count on this row is measured over the window ending on this date, not on the date the job ran.</t>
        </is>
      </c>
      <c r="E7" s="10" t="inlineStr">
        <is>
          <t>System generated</t>
        </is>
      </c>
      <c r="F7" s="10" t="inlineStr">
        <is>
          <t>2026-08-10</t>
        </is>
      </c>
      <c r="G7" s="10" t="inlineStr">
        <is>
          <t>M365 usage report</t>
        </is>
      </c>
      <c r="H7" s="10" t="inlineStr"/>
      <c r="I7" s="10" t="inlineStr">
        <is>
          <t>NEW. Report Refresh Date in both usage exports. WITHOUT THIS COLUMN THE VISIT COUNTS HAVE NO DATES ATTACHED. Microsoft refreshes on its own schedule and lags: an export taken on 12 Aug 2026 carried figures as at 10 Aug, a two day lag, and the lag varies. A date range must tile on THIS column, never on SnapshotDate, or consecutive weekly windows overlap or leave gaps and the total is quietly wrong. The window covered is ReportRefreshDate minus the period plus one, through ReportRefreshDate.</t>
        </is>
      </c>
    </row>
    <row r="8">
      <c r="A8" s="9" t="n">
        <v>4</v>
      </c>
      <c r="B8" s="18" t="inlineStr">
        <is>
          <t>UserPrincipalName</t>
        </is>
      </c>
      <c r="C8" s="10" t="inlineStr">
        <is>
          <t>text</t>
        </is>
      </c>
      <c r="D8" s="10" t="inlineStr">
        <is>
          <t>The User Principal Name, meaning the sign-in email address, of a person who used SharePoint in the window. Counting distinct values of this column is the entire purpose of the table.</t>
        </is>
      </c>
      <c r="E8" s="10" t="inlineStr">
        <is>
          <t>Valid ADB UPN</t>
        </is>
      </c>
      <c r="F8" s="10" t="inlineStr">
        <is>
          <t>jperez@adb.org</t>
        </is>
      </c>
      <c r="G8" s="10" t="inlineStr">
        <is>
          <t>M365 usage report</t>
        </is>
      </c>
      <c r="H8" s="10" t="inlineStr"/>
      <c r="I8" s="10" t="inlineStr">
        <is>
          <t>NEW. This is why the table exists: people cannot be counted from a table of sites. **Monthly active users is NOT the row count**: the export lists every licensed user, active or not. Verified on the tenant, where 30 rows held only 8 people who viewed or edited anything. Count rows where ViewedOrEditedFileCount is above zero.</t>
        </is>
      </c>
    </row>
    <row r="9">
      <c r="A9" s="9" t="n">
        <v>5</v>
      </c>
      <c r="B9" s="18" t="inlineStr">
        <is>
          <t>DisplayName</t>
        </is>
      </c>
      <c r="C9" s="10" t="inlineStr">
        <is>
          <t>text</t>
        </is>
      </c>
      <c r="D9" s="10" t="inlineStr">
        <is>
          <t>The person's display name, for readability when the list is inspected.</t>
        </is>
      </c>
      <c r="E9" s="10" t="inlineStr">
        <is>
          <t>Free text</t>
        </is>
      </c>
      <c r="F9" s="10" t="inlineStr">
        <is>
          <t>J Perez</t>
        </is>
      </c>
      <c r="G9" s="10" t="inlineStr">
        <is>
          <t>Microsoft Graph</t>
        </is>
      </c>
      <c r="H9" s="10" t="inlineStr"/>
      <c r="I9" s="10" t="inlineStr">
        <is>
          <t>NEW. NOT in the activity export, which carries User Principal Name and no display name. Needs a separate Graph call to /users, and it is cosmetic, so drop it if that call is not worth making.</t>
        </is>
      </c>
    </row>
    <row r="10">
      <c r="A10" s="9" t="n">
        <v>6</v>
      </c>
      <c r="B10" s="18" t="inlineStr">
        <is>
          <t>LastActivityDate</t>
        </is>
      </c>
      <c r="C10" s="10" t="inlineStr">
        <is>
          <t>date</t>
        </is>
      </c>
      <c r="D10" s="10" t="inlineStr">
        <is>
          <t>The date of the person's most recent SharePoint activity.</t>
        </is>
      </c>
      <c r="E10" s="10" t="inlineStr">
        <is>
          <t>System generated</t>
        </is>
      </c>
      <c r="F10" s="10" t="inlineStr">
        <is>
          <t>2026-07-24</t>
        </is>
      </c>
      <c r="G10" s="10" t="inlineStr">
        <is>
          <t>M365 usage report</t>
        </is>
      </c>
      <c r="H10" s="10" t="inlineStr"/>
      <c r="I10" s="10" t="inlineStr">
        <is>
          <t>NEW. Filter on this to count active users over 7 or 30 days.</t>
        </is>
      </c>
    </row>
    <row r="11">
      <c r="A11" s="9" t="n">
        <v>7</v>
      </c>
      <c r="B11" s="18" t="inlineStr">
        <is>
          <t>ViewedOrEditedFileCount</t>
        </is>
      </c>
      <c r="C11" s="10" t="inlineStr">
        <is>
          <t>integer</t>
        </is>
      </c>
      <c r="D11" s="10" t="inlineStr">
        <is>
          <t>The number of files the person viewed or edited during the window.</t>
        </is>
      </c>
      <c r="E11" s="10" t="inlineStr">
        <is>
          <t>System generated</t>
        </is>
      </c>
      <c r="F11" s="10" t="inlineStr">
        <is>
          <t>42</t>
        </is>
      </c>
      <c r="G11" s="10" t="inlineStr">
        <is>
          <t>M365 usage report</t>
        </is>
      </c>
      <c r="H11" s="10" t="inlineStr"/>
      <c r="I11" s="10" t="inlineStr">
        <is>
          <t>NEW. Separates heavy users from someone who opened one document, and is the obvious basis for an adoption view.</t>
        </is>
      </c>
    </row>
    <row r="12">
      <c r="A12" s="9" t="n">
        <v>8</v>
      </c>
      <c r="B12" s="18" t="inlineStr">
        <is>
          <t>RowLoadedDate</t>
        </is>
      </c>
      <c r="C12" s="10" t="inlineStr">
        <is>
          <t>timestamp with time zone</t>
        </is>
      </c>
      <c r="D12" s="10" t="inlineStr">
        <is>
          <t>The date and time this row was last written.</t>
        </is>
      </c>
      <c r="E12" s="10" t="inlineStr">
        <is>
          <t>System generated</t>
        </is>
      </c>
      <c r="F12" s="10" t="inlineStr">
        <is>
          <t>2026-07-27 06:00:00+00</t>
        </is>
      </c>
      <c r="G12" s="10" t="inlineStr">
        <is>
          <t>Job generated</t>
        </is>
      </c>
      <c r="H12" s="10" t="inlineStr"/>
      <c r="I12" s="10" t="inlineStr">
        <is>
          <t>NEW. Operational only.</t>
        </is>
      </c>
    </row>
  </sheetData>
  <autoFilter ref="A4:I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4" customWidth="1" min="3" max="3"/>
    <col width="56" customWidth="1" min="4" max="4"/>
    <col width="30" customWidth="1" min="5" max="5"/>
    <col width="30" customWidth="1" min="6" max="6"/>
    <col width="20" customWidth="1" min="7" max="7"/>
    <col width="22" customWidth="1" min="8" max="8"/>
    <col width="70" customWidth="1" min="9" max="9"/>
  </cols>
  <sheetData>
    <row r="1" ht="20" customHeight="1">
      <c r="A1" s="5" t="inlineStr">
        <is>
          <t>FILE PLAN TABLE</t>
        </is>
      </c>
      <c r="B1" s="6" t="n"/>
      <c r="C1" s="6" t="n"/>
      <c r="D1" s="6" t="n"/>
      <c r="E1" s="6" t="n"/>
      <c r="F1" s="6" t="n"/>
      <c r="G1" s="6" t="n"/>
      <c r="H1" s="6" t="n"/>
      <c r="I1" s="6" t="n"/>
    </row>
    <row r="2" ht="42" customHeight="1">
      <c r="A2" s="7" t="inlineStr">
        <is>
          <t>One row per term in the institutional file plan. Exists because the file plan is the taxonomy that classifies content, so its terms are neither documents nor sites nor people and none of the other three tables can hold them.</t>
        </is>
      </c>
      <c r="B2" s="6" t="n"/>
      <c r="C2" s="6" t="n"/>
      <c r="D2" s="6" t="n"/>
      <c r="E2" s="6" t="n"/>
      <c r="F2" s="6" t="n"/>
      <c r="G2" s="6" t="n"/>
      <c r="H2" s="6" t="n"/>
      <c r="I2" s="6" t="n"/>
    </row>
    <row r="4" ht="32" customHeight="1">
      <c r="A4" s="8" t="inlineStr">
        <is>
          <t>S/N</t>
        </is>
      </c>
      <c r="B4" s="8" t="inlineStr">
        <is>
          <t>Column</t>
        </is>
      </c>
      <c r="C4" s="8" t="inlineStr">
        <is>
          <t>Field type</t>
        </is>
      </c>
      <c r="D4" s="8" t="inlineStr">
        <is>
          <t>What it holds</t>
        </is>
      </c>
      <c r="E4" s="8" t="inlineStr">
        <is>
          <t>Values</t>
        </is>
      </c>
      <c r="F4" s="8" t="inlineStr">
        <is>
          <t>Sample</t>
        </is>
      </c>
      <c r="G4" s="8" t="inlineStr">
        <is>
          <t>Where the value comes from</t>
        </is>
      </c>
      <c r="H4" s="8" t="inlineStr">
        <is>
          <t>Joins to</t>
        </is>
      </c>
      <c r="I4" s="8" t="inlineStr">
        <is>
          <t>Remarks</t>
        </is>
      </c>
    </row>
    <row r="5">
      <c r="A5" s="9" t="n">
        <v>1</v>
      </c>
      <c r="B5" s="18" t="inlineStr">
        <is>
          <t>Id</t>
        </is>
      </c>
      <c r="C5" s="10" t="inlineStr">
        <is>
          <t>uuid</t>
        </is>
      </c>
      <c r="D5" s="10" t="inlineStr">
        <is>
          <t>Primary key. Uniquely identifies each term row of the snapshot.</t>
        </is>
      </c>
      <c r="E5" s="10" t="inlineStr">
        <is>
          <t>System generated</t>
        </is>
      </c>
      <c r="F5" s="10" t="inlineStr">
        <is>
          <t>e05b8c31-7d42-4a96-b3f8-1c9e4a70d582</t>
        </is>
      </c>
      <c r="G5" s="10" t="inlineStr">
        <is>
          <t>Job generated</t>
        </is>
      </c>
      <c r="H5" s="10" t="inlineStr"/>
      <c r="I5" s="10" t="inlineStr"/>
    </row>
    <row r="6">
      <c r="A6" s="9" t="n">
        <v>2</v>
      </c>
      <c r="B6" s="18" t="inlineStr">
        <is>
          <t>SnapshotDate</t>
        </is>
      </c>
      <c r="C6" s="10" t="inlineStr">
        <is>
          <t>date</t>
        </is>
      </c>
      <c r="D6" s="10" t="inlineStr">
        <is>
          <t>The date the refresh job captured this data.</t>
        </is>
      </c>
      <c r="E6" s="10" t="inlineStr">
        <is>
          <t>System generated</t>
        </is>
      </c>
      <c r="F6" s="10" t="inlineStr">
        <is>
          <t>2026-07-27</t>
        </is>
      </c>
      <c r="G6" s="10" t="inlineStr">
        <is>
          <t>Job generated</t>
        </is>
      </c>
      <c r="H6" s="10" t="inlineStr"/>
      <c r="I6" s="10" t="inlineStr">
        <is>
          <t>NEW. PART OF THE PRIMARY KEY. Retained, so the file plan can be seen as it stood at any past refresh, which is what shows a taxonomy growing.</t>
        </is>
      </c>
    </row>
    <row r="7">
      <c r="A7" s="9" t="n">
        <v>3</v>
      </c>
      <c r="B7" s="18" t="inlineStr">
        <is>
          <t>TermId</t>
        </is>
      </c>
      <c r="C7" s="10" t="inlineStr">
        <is>
          <t>uuid</t>
        </is>
      </c>
      <c r="D7" s="10" t="inlineStr">
        <is>
          <t>The GUID, meaning the system generated identifier, of the term. Stable across a rename, so counts do not jump when somebody edits a label.</t>
        </is>
      </c>
      <c r="E7" s="10" t="inlineStr">
        <is>
          <t>Term store GUID</t>
        </is>
      </c>
      <c r="F7" s="10" t="inlineStr">
        <is>
          <t>6f2c1a48-9b30-4e75-8d21-c4a7e0f39a41</t>
        </is>
      </c>
      <c r="G7" s="10" t="inlineStr">
        <is>
          <t>Term store</t>
        </is>
      </c>
      <c r="H7" s="10" t="inlineStr"/>
      <c r="I7" s="10" t="inlineStr">
        <is>
          <t>NEW.</t>
        </is>
      </c>
    </row>
    <row r="8">
      <c r="A8" s="9" t="n">
        <v>4</v>
      </c>
      <c r="B8" s="18" t="inlineStr">
        <is>
          <t>TermName</t>
        </is>
      </c>
      <c r="C8" s="10" t="inlineStr">
        <is>
          <t>text</t>
        </is>
      </c>
      <c r="D8" s="10" t="inlineStr">
        <is>
          <t>The label of the term as it appears in the term store.</t>
        </is>
      </c>
      <c r="E8" s="10" t="inlineStr">
        <is>
          <t>Free text</t>
        </is>
      </c>
      <c r="F8" s="10" t="inlineStr">
        <is>
          <t>Procurement Planning</t>
        </is>
      </c>
      <c r="G8" s="10" t="inlineStr">
        <is>
          <t>Term store</t>
        </is>
      </c>
      <c r="H8" s="10" t="inlineStr"/>
      <c r="I8" s="10" t="inlineStr">
        <is>
          <t>NEW.</t>
        </is>
      </c>
    </row>
    <row r="9">
      <c r="A9" s="9" t="n">
        <v>5</v>
      </c>
      <c r="B9" s="18" t="inlineStr">
        <is>
          <t>TermSetName</t>
        </is>
      </c>
      <c r="C9" s="10" t="inlineStr">
        <is>
          <t>text</t>
        </is>
      </c>
      <c r="D9" s="10" t="inlineStr">
        <is>
          <t>The term set the term belongs to.</t>
        </is>
      </c>
      <c r="E9" s="10" t="inlineStr">
        <is>
          <t>Free text</t>
        </is>
      </c>
      <c r="F9" s="10" t="inlineStr">
        <is>
          <t>Procurement</t>
        </is>
      </c>
      <c r="G9" s="10" t="inlineStr">
        <is>
          <t>Term store</t>
        </is>
      </c>
      <c r="H9" s="10" t="inlineStr"/>
      <c r="I9" s="10" t="inlineStr">
        <is>
          <t>NEW.</t>
        </is>
      </c>
    </row>
    <row r="10">
      <c r="A10" s="9" t="n">
        <v>6</v>
      </c>
      <c r="B10" s="18" t="inlineStr">
        <is>
          <t>CategoryName</t>
        </is>
      </c>
      <c r="C10" s="10" t="inlineStr">
        <is>
          <t>text</t>
        </is>
      </c>
      <c r="D10" s="10" t="inlineStr">
        <is>
          <t>The top level term group the term sits under, which is what the report groups by.</t>
        </is>
      </c>
      <c r="E10" s="10" t="inlineStr">
        <is>
          <t>Values from the term store groups</t>
        </is>
      </c>
      <c r="F10" s="10" t="inlineStr">
        <is>
          <t>ADB</t>
        </is>
      </c>
      <c r="G10" s="13" t="inlineStr">
        <is>
          <t>NEEDS A DECISION</t>
        </is>
      </c>
      <c r="H10" s="10" t="inlineStr"/>
      <c r="I10" s="10" t="inlineStr">
        <is>
          <t>NEW. UNVERIFIED. The five categories in the requirement do not exist in the tenant's term store. See the Structure sheet.</t>
        </is>
      </c>
    </row>
    <row r="11">
      <c r="A11" s="9" t="n">
        <v>7</v>
      </c>
      <c r="B11" s="18" t="inlineStr">
        <is>
          <t>Depth</t>
        </is>
      </c>
      <c r="C11" s="10" t="inlineStr">
        <is>
          <t>integer</t>
        </is>
      </c>
      <c r="D11" s="10" t="inlineStr">
        <is>
          <t>How many levels below the term set the term sits. A term directly under a term set is 1.</t>
        </is>
      </c>
      <c r="E11" s="10" t="inlineStr">
        <is>
          <t>System generated</t>
        </is>
      </c>
      <c r="F11" s="10" t="inlineStr">
        <is>
          <t>3</t>
        </is>
      </c>
      <c r="G11" s="10" t="inlineStr">
        <is>
          <t>Term store</t>
        </is>
      </c>
      <c r="H11" s="10" t="inlineStr"/>
      <c r="I11" s="10" t="inlineStr">
        <is>
          <t>NEW. Recorded while walking the tree at no extra cost, and it answers how deep the plan actually runs.</t>
        </is>
      </c>
    </row>
    <row r="12">
      <c r="A12" s="9" t="n">
        <v>8</v>
      </c>
      <c r="B12" s="18" t="inlineStr">
        <is>
          <t>RowLoadedDate</t>
        </is>
      </c>
      <c r="C12" s="10" t="inlineStr">
        <is>
          <t>timestamp with time zone</t>
        </is>
      </c>
      <c r="D12" s="10" t="inlineStr">
        <is>
          <t>The date and time this row was last written.</t>
        </is>
      </c>
      <c r="E12" s="10" t="inlineStr">
        <is>
          <t>System generated</t>
        </is>
      </c>
      <c r="F12" s="10" t="inlineStr">
        <is>
          <t>2026-07-27 06:00:00+00</t>
        </is>
      </c>
      <c r="G12" s="10" t="inlineStr">
        <is>
          <t>Job generated</t>
        </is>
      </c>
      <c r="H12" s="10" t="inlineStr"/>
      <c r="I12" s="10" t="inlineStr">
        <is>
          <t>NEW. Operational only.</t>
        </is>
      </c>
    </row>
  </sheetData>
  <autoFilter ref="A4:I1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92" customWidth="1" min="4" max="4"/>
    <col width="22" customWidth="1" min="5" max="5"/>
  </cols>
  <sheetData>
    <row r="1" ht="20" customHeight="1">
      <c r="A1" s="5" t="inlineStr">
        <is>
          <t>Questions to ask, in priority order</t>
        </is>
      </c>
      <c r="B1" s="6" t="n"/>
      <c r="C1" s="6" t="n"/>
      <c r="D1" s="6" t="n"/>
      <c r="E1" s="6" t="n"/>
    </row>
    <row r="2" ht="16" customHeight="1">
      <c r="A2" s="7" t="inlineStr">
        <is>
          <t>Ordered by how much each answer unblocks. Every one also appears against its figures on the dashboard sheets.</t>
        </is>
      </c>
      <c r="B2" s="6" t="n"/>
      <c r="C2" s="6" t="n"/>
      <c r="D2" s="6" t="n"/>
      <c r="E2" s="6" t="n"/>
    </row>
    <row r="4" ht="32" customHeight="1">
      <c r="A4" s="8" t="inlineStr">
        <is>
          <t>#</t>
        </is>
      </c>
      <c r="B4" s="8" t="inlineStr">
        <is>
          <t>Topic</t>
        </is>
      </c>
      <c r="C4" s="8" t="inlineStr">
        <is>
          <t>Who answers</t>
        </is>
      </c>
      <c r="D4" s="8" t="inlineStr">
        <is>
          <t>What to ask, and why</t>
        </is>
      </c>
      <c r="E4" s="8" t="inlineStr">
        <is>
          <t>Unblocks</t>
        </is>
      </c>
    </row>
    <row r="5">
      <c r="A5" s="9" t="n">
        <v>1</v>
      </c>
      <c r="B5" s="18" t="inlineStr">
        <is>
          <t>Institutional file plan</t>
        </is>
      </c>
      <c r="C5" s="10" t="inlineStr">
        <is>
          <t>Client, records management</t>
        </is>
      </c>
      <c r="D5" s="10" t="inlineStr">
        <is>
          <t>Ask where the institutional file plan actually lives. It is in neither the term store, which holds 6 dropdown value sets and 16 terms one level deep, nor Purview, which holds 53 flat retention labels. Why: a whole dashboard waits on the answer</t>
        </is>
      </c>
      <c r="E5" s="10" t="inlineStr">
        <is>
          <t>The whole File Plan dashboard, plus classification everywhere</t>
        </is>
      </c>
    </row>
    <row r="6">
      <c r="A6" s="9" t="n">
        <v>2</v>
      </c>
      <c r="B6" s="18" t="inlineStr">
        <is>
          <t>Site to department list</t>
        </is>
      </c>
      <c r="C6" s="10" t="inlineStr">
        <is>
          <t>RAC, check Cloud Governance first</t>
        </is>
      </c>
      <c r="D6" s="10" t="inlineStr">
        <is>
          <t>Ask RAC for the site to department list, roughly 1,057 rows, one department per site URL. Check AvePoint Cloud Governance first, it may already hold it from the site request. Why: this single list unlocks every departmental figure in the report</t>
        </is>
      </c>
      <c r="E6" s="10" t="inlineStr">
        <is>
          <t>Every departmental figure, and all of Department Insights</t>
        </is>
      </c>
    </row>
    <row r="7">
      <c r="A7" s="9" t="n">
        <v>3</v>
      </c>
      <c r="B7" s="18" t="inlineStr">
        <is>
          <t>Project site register</t>
        </is>
      </c>
      <c r="C7" s="10" t="inlineStr">
        <is>
          <t>RAC, check Cloud Governance first</t>
        </is>
      </c>
      <c r="D7" s="10" t="inlineStr">
        <is>
          <t>Ask whether a project site register exists: site URL to project number, and sovereign or nonsovereign. Check Cloud Governance first. Why: it is the only thing missing for the whole Project Insights dashboard, every measure on it is already producible</t>
        </is>
      </c>
      <c r="E7" s="10" t="inlineStr">
        <is>
          <t>The whole Project Insights dashboard</t>
        </is>
      </c>
    </row>
    <row r="8">
      <c r="A8" s="9" t="n">
        <v>4</v>
      </c>
      <c r="B8" s="18" t="inlineStr">
        <is>
          <t>Term to document join</t>
        </is>
      </c>
      <c r="C8" s="10" t="inlineStr">
        <is>
          <t>Development team</t>
        </is>
      </c>
      <c r="D8" s="10" t="inlineStr">
        <is>
          <t>Ask the development team to add a term reference to the document row, or supply a term to library mapping list. Why: nothing links a term to a document, so no per term figure can be produced even once the file plan is located</t>
        </is>
      </c>
      <c r="E8" s="10" t="inlineStr">
        <is>
          <t>Every per term figure on two dashboards</t>
        </is>
      </c>
    </row>
    <row r="9">
      <c r="A9" s="9" t="n">
        <v>5</v>
      </c>
      <c r="B9" s="18" t="inlineStr">
        <is>
          <t>Disposal status field</t>
        </is>
      </c>
      <c r="C9" s="10" t="inlineStr">
        <is>
          <t>Client, then the development team</t>
        </is>
      </c>
      <c r="D9" s="10" t="inlineStr">
        <is>
          <t>Raise a change request for a disposal status field: status, approver, and date disposed. Why: nothing records that a disposal happened, so every completion figure is unanswerable</t>
        </is>
      </c>
      <c r="E9" s="10" t="inlineStr">
        <is>
          <t>Disposal completion across three dashboards</t>
        </is>
      </c>
    </row>
    <row r="10">
      <c r="A10" s="9" t="n">
        <v>6</v>
      </c>
      <c r="B10" s="18" t="inlineStr">
        <is>
          <t>EDRMS app detection</t>
        </is>
      </c>
      <c r="C10" s="10" t="inlineStr">
        <is>
          <t>Mihal Le</t>
        </is>
      </c>
      <c r="D10" s="10" t="inlineStr">
        <is>
          <t>Ask Mihal Le which API returns the installed app list per site, for app {B255A2AF-7F63-4A30-966A-5D5FD99F97D7}. Why: it defines which sites are in the report at all</t>
        </is>
      </c>
      <c r="E10" s="10" t="inlineStr">
        <is>
          <t>Which sites are in the report at all, and 4 KPIs</t>
        </is>
      </c>
    </row>
    <row r="11">
      <c r="A11" s="9" t="n">
        <v>7</v>
      </c>
      <c r="B11" s="18" t="inlineStr">
        <is>
          <t>Division</t>
        </is>
      </c>
      <c r="C11" s="10" t="inlineStr">
        <is>
          <t>Client and RAC</t>
        </is>
      </c>
      <c r="D11" s="10" t="inlineStr">
        <is>
          <t>Ask who supplies division alongside department. Why: the tier was reinstated at the client's request but nothing in the tenant populates it, so the RAC list has to carry a division column too</t>
        </is>
      </c>
      <c r="E11" s="10" t="inlineStr">
        <is>
          <t>Four panels across two dashboards</t>
        </is>
      </c>
    </row>
    <row r="12">
      <c r="A12" s="9" t="n">
        <v>8</v>
      </c>
      <c r="B12" s="18" t="inlineStr">
        <is>
          <t>Staff class and training</t>
        </is>
      </c>
      <c r="C12" s="10" t="inlineStr">
        <is>
          <t>Client, likely HR or an LMS</t>
        </is>
      </c>
      <c r="D12" s="10" t="inlineStr">
        <is>
          <t>Ask which system owns staff, contractor and consultant classification and training completion. The client asks the same question on their own slide 54. Why: nothing in SharePoint holds it</t>
        </is>
      </c>
      <c r="E12" s="10" t="inlineStr">
        <is>
          <t>The user panels on two dashboards</t>
        </is>
      </c>
    </row>
    <row r="13">
      <c r="A13" s="9" t="n">
        <v>9</v>
      </c>
      <c r="B13" s="18" t="inlineStr">
        <is>
          <t>Inactivity threshold</t>
        </is>
      </c>
      <c r="C13" s="10" t="inlineStr">
        <is>
          <t>Client</t>
        </is>
      </c>
      <c r="D13" s="10" t="inlineStr">
        <is>
          <t>Ask whether an inactive site is 90 days or 300. The deck says 90, the metrics document says 300. Why: it changes every inactivity figure, and it is a one line change either way</t>
        </is>
      </c>
      <c r="E13" s="10" t="inlineStr">
        <is>
          <t>Every inactivity figure</t>
        </is>
      </c>
    </row>
    <row r="14">
      <c r="A14" s="9" t="n">
        <v>10</v>
      </c>
      <c r="B14" s="18" t="inlineStr">
        <is>
          <t>Format group mapping</t>
        </is>
      </c>
      <c r="C14" s="10" t="inlineStr">
        <is>
          <t>RAC</t>
        </is>
      </c>
      <c r="D14" s="10" t="inlineStr">
        <is>
          <t>Ask RAC for the file extension to format group mapping, a short list. Why: without it every extension falls into All other formats</t>
        </is>
      </c>
      <c r="E14" s="10" t="inlineStr">
        <is>
          <t>The format and storage panel</t>
        </is>
      </c>
    </row>
    <row r="15">
      <c r="A15" s="9" t="n">
        <v>11</v>
      </c>
      <c r="B15" s="18" t="inlineStr">
        <is>
          <t>Reference lists</t>
        </is>
      </c>
      <c r="C15" s="10" t="inlineStr">
        <is>
          <t>Client</t>
        </is>
      </c>
      <c r="D15" s="10" t="inlineStr">
        <is>
          <t>Ask who maintains this list and where it will live. Why: it is not a measurement, nothing can generate it, and without an owner the panel stays empty</t>
        </is>
      </c>
      <c r="E15" s="10" t="inlineStr">
        <is>
          <t>Go-live dates, conventions and programme dates on Department Insights</t>
        </is>
      </c>
    </row>
    <row r="16">
      <c r="A16" s="9" t="n">
        <v>12</v>
      </c>
      <c r="B16" s="18" t="inlineStr">
        <is>
          <t>Archived sites</t>
        </is>
      </c>
      <c r="C16" s="10" t="inlineStr">
        <is>
          <t>Client</t>
        </is>
      </c>
      <c r="D16" s="10" t="inlineStr">
        <is>
          <t>Ask what archived means for a site, and how it is marked. Why: there is no definition anywhere, so the figure cannot be counted</t>
        </is>
      </c>
      <c r="E16" s="10" t="inlineStr">
        <is>
          <t>One tile, and the definition behind it</t>
        </is>
      </c>
    </row>
    <row r="17">
      <c r="A17" s="9" t="n">
        <v>13</v>
      </c>
      <c r="B17" s="18" t="inlineStr">
        <is>
          <t>Physical holdings</t>
        </is>
      </c>
      <c r="C17" s="10" t="inlineStr">
        <is>
          <t>RAC</t>
        </is>
      </c>
      <c r="D17" s="10" t="inlineStr">
        <is>
          <t>Ask RAC for the physical holdings system: boxes, folders, locations, transfers and retrievals. Slide 67 names eServe for retrievals and shows an IR Dashboard screenshot. Why: none of it is in any system this report reads, and access to that dashboard may answer most of it</t>
        </is>
      </c>
      <c r="E17" s="10" t="inlineStr">
        <is>
          <t>The whole Records and Archive Holdings dashboard</t>
        </is>
      </c>
    </row>
    <row r="18">
      <c r="A18" s="9" t="n">
        <v>14</v>
      </c>
      <c r="B18" s="18" t="inlineStr">
        <is>
          <t>Audit log access</t>
        </is>
      </c>
      <c r="C18" s="10" t="inlineStr">
        <is>
          <t>Client and ITD</t>
        </is>
      </c>
      <c r="D18" s="10" t="inlineStr">
        <is>
          <t>Ask whether audit log access can be granted, and confirm the purpose. Why: access requests, external sharing and permission exceptions live in the audit log, a different Graph surface with a different permission set</t>
        </is>
      </c>
      <c r="E18" s="10" t="inlineStr">
        <is>
          <t>Access management and visitor split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78" customWidth="1" min="5" max="5"/>
  </cols>
  <sheetData>
    <row r="1" ht="20" customHeight="1">
      <c r="A1" s="5" t="inlineStr">
        <is>
          <t>Summary</t>
        </is>
      </c>
      <c r="B1" s="6" t="n"/>
      <c r="C1" s="6" t="n"/>
      <c r="D1" s="6" t="n"/>
      <c r="E1" s="6" t="n"/>
    </row>
    <row r="2" ht="16" customHeight="1">
      <c r="A2" s="7" t="inlineStr">
        <is>
          <t>Every count is a formula over the six dashboard sheets, so it follows any edit made there.</t>
        </is>
      </c>
      <c r="B2" s="6" t="n"/>
      <c r="C2" s="6" t="n"/>
      <c r="D2" s="6" t="n"/>
      <c r="E2" s="6" t="n"/>
    </row>
    <row r="4">
      <c r="B4" s="19" t="inlineStr">
        <is>
          <t>By status</t>
        </is>
      </c>
    </row>
    <row r="5" ht="32" customHeight="1">
      <c r="A5" s="8" t="n"/>
      <c r="B5" s="8" t="inlineStr">
        <is>
          <t>Status</t>
        </is>
      </c>
      <c r="C5" s="8" t="inlineStr">
        <is>
          <t>Count</t>
        </is>
      </c>
      <c r="D5" s="8" t="inlineStr">
        <is>
          <t>Share</t>
        </is>
      </c>
      <c r="E5" s="8" t="inlineStr">
        <is>
          <t>What it means</t>
        </is>
      </c>
    </row>
    <row r="6">
      <c r="A6" s="10" t="n"/>
      <c r="B6" s="20" t="inlineStr">
        <is>
          <t>Buildable now</t>
        </is>
      </c>
      <c r="C6" s="21">
        <f>COUNTIF('01 Bank-wide Oversight'!$N:$N,$B6)+COUNTIF('02 Department Insights'!$N:$N,$B6)+COUNTIF('03 Project Insights'!$N:$N,$B6)+COUNTIF('04 Institutional File Plan'!$N:$N,$B6)+COUNTIF('05 Retention and Disposal'!$N:$N,$B6)+COUNTIF('06 Records and Archive Holdings'!$N:$N,$B6)</f>
        <v/>
      </c>
      <c r="D6" s="22">
        <f>IF($C$13=0,0,C6/$C$13)</f>
        <v/>
      </c>
      <c r="E6" s="10" t="inlineStr">
        <is>
          <t>Sourceable from the 73 column design as it stands</t>
        </is>
      </c>
    </row>
    <row r="7">
      <c r="A7" s="10" t="n"/>
      <c r="B7" s="23" t="inlineStr">
        <is>
          <t>Needs department list</t>
        </is>
      </c>
      <c r="C7" s="21">
        <f>COUNTIF('01 Bank-wide Oversight'!$N:$N,$B7)+COUNTIF('02 Department Insights'!$N:$N,$B7)+COUNTIF('03 Project Insights'!$N:$N,$B7)+COUNTIF('04 Institutional File Plan'!$N:$N,$B7)+COUNTIF('05 Retention and Disposal'!$N:$N,$B7)+COUNTIF('06 Records and Archive Holdings'!$N:$N,$B7)</f>
        <v/>
      </c>
      <c r="D7" s="22">
        <f>IF($C$13=0,0,C7/$C$13)</f>
        <v/>
      </c>
      <c r="E7" s="10" t="inlineStr">
        <is>
          <t>Buildable the moment RAC supply the site to department list</t>
        </is>
      </c>
    </row>
    <row r="8">
      <c r="A8" s="10" t="n"/>
      <c r="B8" s="24" t="inlineStr">
        <is>
          <t>Needs new column or join</t>
        </is>
      </c>
      <c r="C8" s="21">
        <f>COUNTIF('01 Bank-wide Oversight'!$N:$N,$B8)+COUNTIF('02 Department Insights'!$N:$N,$B8)+COUNTIF('03 Project Insights'!$N:$N,$B8)+COUNTIF('04 Institutional File Plan'!$N:$N,$B8)+COUNTIF('05 Retention and Disposal'!$N:$N,$B8)+COUNTIF('06 Records and Archive Holdings'!$N:$N,$B8)</f>
        <v/>
      </c>
      <c r="D8" s="22">
        <f>IF($C$13=0,0,C8/$C$13)</f>
        <v/>
      </c>
      <c r="E8" s="10" t="inlineStr">
        <is>
          <t>The design must change: a new column, or a join that does not exist</t>
        </is>
      </c>
    </row>
    <row r="9">
      <c r="A9" s="10" t="n"/>
      <c r="B9" s="25" t="inlineStr">
        <is>
          <t>Needs application change</t>
        </is>
      </c>
      <c r="C9" s="21">
        <f>COUNTIF('01 Bank-wide Oversight'!$N:$N,$B9)+COUNTIF('02 Department Insights'!$N:$N,$B9)+COUNTIF('03 Project Insights'!$N:$N,$B9)+COUNTIF('04 Institutional File Plan'!$N:$N,$B9)+COUNTIF('05 Retention and Disposal'!$N:$N,$B9)+COUNTIF('06 Records and Archive Holdings'!$N:$N,$B9)</f>
        <v/>
      </c>
      <c r="D9" s="22">
        <f>IF($C$13=0,0,C9/$C$13)</f>
        <v/>
      </c>
      <c r="E9" s="10" t="inlineStr">
        <is>
          <t>Needs a new field in the EDRMS application, a development change request</t>
        </is>
      </c>
    </row>
    <row r="10">
      <c r="A10" s="10" t="n"/>
      <c r="B10" s="26" t="inlineStr">
        <is>
          <t>Needs reference list</t>
        </is>
      </c>
      <c r="C10" s="21">
        <f>COUNTIF('01 Bank-wide Oversight'!$N:$N,$B10)+COUNTIF('02 Department Insights'!$N:$N,$B10)+COUNTIF('03 Project Insights'!$N:$N,$B10)+COUNTIF('04 Institutional File Plan'!$N:$N,$B10)+COUNTIF('05 Retention and Disposal'!$N:$N,$B10)+COUNTIF('06 Records and Archive Holdings'!$N:$N,$B10)</f>
        <v/>
      </c>
      <c r="D10" s="22">
        <f>IF($C$13=0,0,C10/$C$13)</f>
        <v/>
      </c>
      <c r="E10" s="10" t="inlineStr">
        <is>
          <t>Not a measurement. Somebody has to maintain a list for it to exist</t>
        </is>
      </c>
    </row>
    <row r="11">
      <c r="A11" s="10" t="n"/>
      <c r="B11" s="27" t="inlineStr">
        <is>
          <t>Needs new data source</t>
        </is>
      </c>
      <c r="C11" s="21">
        <f>COUNTIF('01 Bank-wide Oversight'!$N:$N,$B11)+COUNTIF('02 Department Insights'!$N:$N,$B11)+COUNTIF('03 Project Insights'!$N:$N,$B11)+COUNTIF('04 Institutional File Plan'!$N:$N,$B11)+COUNTIF('05 Retention and Disposal'!$N:$N,$B11)+COUNTIF('06 Records and Archive Holdings'!$N:$N,$B11)</f>
        <v/>
      </c>
      <c r="D11" s="22">
        <f>IF($C$13=0,0,C11/$C$13)</f>
        <v/>
      </c>
      <c r="E11" s="10" t="inlineStr">
        <is>
          <t>A system we have not touched, or data no API returns</t>
        </is>
      </c>
    </row>
    <row r="12">
      <c r="A12" s="10" t="n"/>
      <c r="B12" s="28" t="inlineStr">
        <is>
          <t>Decision needed</t>
        </is>
      </c>
      <c r="C12" s="21">
        <f>COUNTIF('01 Bank-wide Oversight'!$N:$N,$B12)+COUNTIF('02 Department Insights'!$N:$N,$B12)+COUNTIF('03 Project Insights'!$N:$N,$B12)+COUNTIF('04 Institutional File Plan'!$N:$N,$B12)+COUNTIF('05 Retention and Disposal'!$N:$N,$B12)+COUNTIF('06 Records and Archive Holdings'!$N:$N,$B12)</f>
        <v/>
      </c>
      <c r="D12" s="22">
        <f>IF($C$13=0,0,C12/$C$13)</f>
        <v/>
      </c>
      <c r="E12" s="10" t="inlineStr">
        <is>
          <t>The client must answer before it can be scoped</t>
        </is>
      </c>
    </row>
    <row r="13">
      <c r="A13" s="10" t="n"/>
      <c r="B13" s="29" t="inlineStr">
        <is>
          <t>Total figures checked</t>
        </is>
      </c>
      <c r="C13" s="30">
        <f>SUM(C6:C12)</f>
        <v/>
      </c>
      <c r="D13" s="31" t="n"/>
      <c r="E13" s="29" t="n"/>
    </row>
    <row r="15">
      <c r="B15" s="19" t="inlineStr">
        <is>
          <t>By dashboard</t>
        </is>
      </c>
    </row>
    <row r="16" ht="32" customHeight="1">
      <c r="A16" s="8" t="n"/>
      <c r="B16" s="8" t="inlineStr">
        <is>
          <t>Dashboard</t>
        </is>
      </c>
      <c r="C16" s="8" t="inlineStr">
        <is>
          <t>Figures</t>
        </is>
      </c>
      <c r="D16" s="8" t="inlineStr">
        <is>
          <t>Buildable now</t>
        </is>
      </c>
      <c r="E16" s="8" t="inlineStr">
        <is>
          <t>Blocked on something</t>
        </is>
      </c>
    </row>
    <row r="17">
      <c r="A17" s="10" t="n"/>
      <c r="B17" s="10" t="inlineStr">
        <is>
          <t>Bank-wide Oversight</t>
        </is>
      </c>
      <c r="C17" s="21">
        <f>COUNTA('01 Bank-wide Oversight'!$N$5:$N$200)</f>
        <v/>
      </c>
      <c r="D17" s="21">
        <f>COUNTIF('01 Bank-wide Oversight'!$N$5:$N$200,"Buildable now")</f>
        <v/>
      </c>
      <c r="E17" s="21">
        <f>C17-D17</f>
        <v/>
      </c>
    </row>
    <row r="18">
      <c r="A18" s="10" t="n"/>
      <c r="B18" s="10" t="inlineStr">
        <is>
          <t>Department Insights</t>
        </is>
      </c>
      <c r="C18" s="21">
        <f>COUNTA('02 Department Insights'!$N$5:$N$200)</f>
        <v/>
      </c>
      <c r="D18" s="21">
        <f>COUNTIF('02 Department Insights'!$N$5:$N$200,"Buildable now")</f>
        <v/>
      </c>
      <c r="E18" s="21">
        <f>C18-D18</f>
        <v/>
      </c>
    </row>
    <row r="19">
      <c r="A19" s="10" t="n"/>
      <c r="B19" s="10" t="inlineStr">
        <is>
          <t>Project Insights</t>
        </is>
      </c>
      <c r="C19" s="21">
        <f>COUNTA('03 Project Insights'!$N$5:$N$200)</f>
        <v/>
      </c>
      <c r="D19" s="21">
        <f>COUNTIF('03 Project Insights'!$N$5:$N$200,"Buildable now")</f>
        <v/>
      </c>
      <c r="E19" s="21">
        <f>C19-D19</f>
        <v/>
      </c>
    </row>
    <row r="20">
      <c r="A20" s="10" t="n"/>
      <c r="B20" s="10" t="inlineStr">
        <is>
          <t>Institutional File Plan Insights</t>
        </is>
      </c>
      <c r="C20" s="21">
        <f>COUNTA('04 Institutional File Plan'!$N$5:$N$200)</f>
        <v/>
      </c>
      <c r="D20" s="21">
        <f>COUNTIF('04 Institutional File Plan'!$N$5:$N$200,"Buildable now")</f>
        <v/>
      </c>
      <c r="E20" s="21">
        <f>C20-D20</f>
        <v/>
      </c>
    </row>
    <row r="21">
      <c r="A21" s="10" t="n"/>
      <c r="B21" s="10" t="inlineStr">
        <is>
          <t>Retention and Disposal Insights</t>
        </is>
      </c>
      <c r="C21" s="21">
        <f>COUNTA('05 Retention and Disposal'!$N$5:$N$200)</f>
        <v/>
      </c>
      <c r="D21" s="21">
        <f>COUNTIF('05 Retention and Disposal'!$N$5:$N$200,"Buildable now")</f>
        <v/>
      </c>
      <c r="E21" s="21">
        <f>C21-D21</f>
        <v/>
      </c>
    </row>
    <row r="22">
      <c r="A22" s="10" t="n"/>
      <c r="B22" s="10" t="inlineStr">
        <is>
          <t>Records and Archive Holdings</t>
        </is>
      </c>
      <c r="C22" s="21">
        <f>COUNTA('06 Records and Archive Holdings'!$N$5:$N$200)</f>
        <v/>
      </c>
      <c r="D22" s="21">
        <f>COUNTIF('06 Records and Archive Holdings'!$N$5:$N$200,"Buildable now")</f>
        <v/>
      </c>
      <c r="E22" s="21">
        <f>C22-D22</f>
        <v/>
      </c>
    </row>
    <row r="23">
      <c r="A23" s="10" t="n"/>
      <c r="B23" s="29" t="inlineStr">
        <is>
          <t>Total</t>
        </is>
      </c>
      <c r="C23" s="30">
        <f>SUM(C17:C22)</f>
        <v/>
      </c>
      <c r="D23" s="30">
        <f>SUM(D17:D22)</f>
        <v/>
      </c>
      <c r="E23" s="30">
        <f>SUM(E17:E22)</f>
        <v/>
      </c>
    </row>
    <row r="25">
      <c r="B25" s="32" t="inlineStr">
        <is>
          <t>Hand check at build time</t>
        </is>
      </c>
    </row>
    <row r="26">
      <c r="B26" s="33" t="inlineStr">
        <is>
          <t>These counts are formulas over the six dashboard sheets, not typed numbers, so they follow any edit made there. LibreOffice cannot recalculate in the build environment, so they ship without cached values: Excel computes them on open, but a lightweight previewer may show them blank. Counted by hand at build time there were 105 figures, being 20 , 17 Ask RAC for the site to department list, roughly 1,057 rows, one department per site URL. Check AvePoint Cloud Governance first, it may already hold it from the site request. Why: this single list unlocks every departmental figure in the report, 8 Ask whether a project site register exists: site URL to project number, and sovereign or nonsovereign. Check Cloud Governance first. Why: it is the only thing missing for the whole Project Insights dashboard, every measure on it is already producible, 7 Ask RAC for the physical holdings system: boxes, folders, locations, transfers and retrievals. Slide 67 names eServe for retrievals and shows an IR Dashboard screenshot. Why: none of it is in any system this report reads, and access to that dashboard may answer most of it, 5 Ask the development team to add a term reference to the document row, or supply a term to library mapping list. Why: nothing links a term to a document, so no per term figure can be produced even once the file plan is located, 4 Raise a change request for a disposal status field: status, approver, and date disposed. Why: nothing records that a disposal happened, so every completion figure is unanswerable, 4 Ask whether audit log access can be granted, and confirm the purpose. Why: access requests, external sharing and permission exceptions live in the audit log, a different Graph surface with a different permission set, 3 Ask which system owns staff, contractor and consultant classification and training completion. The client asks the same question on their own slide 54. Why: nothing in SharePoint holds it, 3 Ask who supplies division alongside department. Why: the tier was reinstated at the client's request but nothing in the tenant populates it, so the RAC list has to carry a division column too, 3 Ask whether an inactive site is 90 days or 300. The deck says 90, the metrics document says 300. Why: it changes every inactivity figure, and it is a one line change either way, 3 Ask who maintains this list and where it will live. Why: it is not a measurement, nothing can generate it, and without an owner the panel stays empty, 2 Ask Mihal Le which API returns the installed app list per site, for app {B255A2AF-7F63-4A30-966A-5D5FD99F97D7}. Why: it defines which sites are in the report at all. Also Ask whether an inactive site is 90 days or 300. The deck says 90, the metrics document says 300. Why: it changes every inactivity figure, and it is a one line change either way, 2 Ask where the institutional file plan actually lives. It is in neither the term store, which holds 6 dropdown value sets and 16 terms one level deep, nor Purview, which holds 53 flat retention labels. Why: a whole dashboard waits on the answer, 1 None. Warn the client that the export lists every licensed user, so the row count is not the active count, 1 None, but flag that the weekly scan must be built before this is real, 1 None, but note that a folder returns a cumulative size, so the scan must filter to files only, 1 Ask the development team to capture Author on the document scan. Why: without it, creation activity can only be measured for records, not for documents, 1 Confirm that a deleted site should be counted from its disappearance between two snapshots, rather than from a deletion event. Why: nothing raises an event to us, so absence is the only signal available, and it cannot distinguish a deletion from a permissions change that hides the site from the export, 1 Ask what archived means for a site, and how it is marked. Why: there is no definition anywhere, so the figure cannot be counted, 1 None. Confirm the job start date with the client, because the trend can only begin there, 1 Ask RAC for the file extension to format group mapping, a short list. Why: without it every extension falls into All other formats, 1 Tell the client this cannot be produced and offer records created per library instead. Why: Microsoft exposes no per library activity feed at all, 1 Ask whether a library owner is maintained anywhere. Why: the site owner is the only owner the tenant returns, 1 Confirm the definition. Why: the client wrote 'with same filenames?' themselves, so they already suspect it is imprecise, 1 Confirm what counts as orphaned. Why: it could mean a missing site, a missing library or a missing owner, and the three give different numbers, 1 Confirm the label names in use. Why: the tile names must match the tenant's own labels, 1 Tell the client search analytics cannot be attributed to a record or a library. Why: Microsoft reports them at tenant level only, 1 Offer most active sites instead. Why: document grain analytics do not exist, 1 Warn the client only 7 day and all time windows exist. Why: their slide implies a monthly figure, 1 Ask where the institutional file plan actually lives. It is in neither the term store, which holds 6 dropdown value sets and 16 terms one level deep, nor Purview, which holds 53 flat retention labels. Why: a whole dashboard waits on the answer. Also Ask the development team to add a term reference to the document row, or supply a term to library mapping list. Why: nothing links a term to a document, so no per term figure can be produced even once the file plan is located, 1 Tell the client this is not available at library grain. Why: Microsoft exposes no per library viewer feed, 1 Ask the development team to add a term reference to the document row, or supply a term to library mapping list. Why: nothing links a term to a document, so no per term figure can be produced even once the file plan is located. Also Ask RAC for the site to department list, roughly 1,057 rows, one department per site URL. Check AvePoint Cloud Governance first, it may already hold it from the site request. Why: this single list unlocks every departmental figure in the report, 1 Ask what a business process is and how it relates to a file plan term. The two are not the same thing and the requirement names it once without defining it. Why: it cannot be counted until somebody says what it counts, 1 Warn that this means the date has passed, not that action is outstanding. Why: nothing records whether a disposal was carried out, 1 Check the mapping list's key yourself before asking anyone. Why: if it keys by ListId this metric goes straight in, and if it keys by name the join is too fragile to trust, 1 Ask RAC for the physical holdings system: boxes, folders, locations, transfers and retrievals. Slide 67 names eServe for retrievals and shows an IR Dashboard screenshot. Why: none of it is in any system this report reads, and access to that dashboard may answer most of it. Answer their direct question: capacity can be displayed the moment somebody holds the figure, 1 Ask for access to the IR Dashboard shown on slide 67, and ask what is available in Opus. Why: both are their own questions to us, and the IR Dashboard may already hold most of this.</t>
        </is>
      </c>
    </row>
    <row r="27"/>
    <row r="28"/>
    <row r="29"/>
  </sheetData>
  <mergeCells count="1">
    <mergeCell ref="B26:E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2026-08-13T08:39:53Z</dcterms:created>
  <dcterms:modified xsi:type="dcterms:W3CDTF">2026-08-13T08:39:53Z</dcterms:modified>
</cp:coreProperties>
</file>